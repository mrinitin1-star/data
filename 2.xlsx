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wn Project\"/>
    </mc:Choice>
  </mc:AlternateContent>
  <bookViews>
    <workbookView xWindow="0" yWindow="0" windowWidth="23040" windowHeight="9780" activeTab="1"/>
  </bookViews>
  <sheets>
    <sheet name="Yearly" sheetId="1" r:id="rId1"/>
    <sheet name="Monthly" sheetId="2" r:id="rId2"/>
    <sheet name="Yearly GD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3" i="2"/>
  <c r="L3" i="2"/>
  <c r="K3" i="2"/>
  <c r="I3" i="2"/>
  <c r="J3" i="2"/>
  <c r="J3" i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4" i="2"/>
  <c r="J5" i="2"/>
  <c r="J6" i="2"/>
  <c r="J7" i="2"/>
  <c r="J8" i="2"/>
  <c r="J9" i="2"/>
  <c r="J10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3" i="1"/>
  <c r="K3" i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3" i="2"/>
  <c r="F21" i="2"/>
  <c r="F19" i="2"/>
  <c r="F13" i="2"/>
  <c r="F12" i="2"/>
  <c r="F10" i="2"/>
  <c r="F11" i="2"/>
  <c r="F8" i="2"/>
  <c r="F7" i="2"/>
  <c r="F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4" i="2"/>
  <c r="G3" i="2"/>
  <c r="F266" i="2"/>
  <c r="F267" i="2"/>
  <c r="F268" i="2"/>
  <c r="F269" i="2"/>
  <c r="F265" i="2"/>
  <c r="F254" i="2"/>
  <c r="F255" i="2"/>
  <c r="F256" i="2"/>
  <c r="F257" i="2"/>
  <c r="F258" i="2"/>
  <c r="F259" i="2"/>
  <c r="F260" i="2"/>
  <c r="F261" i="2"/>
  <c r="F262" i="2"/>
  <c r="F263" i="2"/>
  <c r="F264" i="2"/>
  <c r="F253" i="2"/>
  <c r="F242" i="2"/>
  <c r="F243" i="2"/>
  <c r="F244" i="2"/>
  <c r="F245" i="2"/>
  <c r="F246" i="2"/>
  <c r="F247" i="2"/>
  <c r="F248" i="2"/>
  <c r="F249" i="2"/>
  <c r="F250" i="2"/>
  <c r="F251" i="2"/>
  <c r="F252" i="2"/>
  <c r="F241" i="2"/>
  <c r="F230" i="2"/>
  <c r="F231" i="2"/>
  <c r="F232" i="2"/>
  <c r="F233" i="2"/>
  <c r="F234" i="2"/>
  <c r="F235" i="2"/>
  <c r="F236" i="2"/>
  <c r="F237" i="2"/>
  <c r="F238" i="2"/>
  <c r="F239" i="2"/>
  <c r="F240" i="2"/>
  <c r="F229" i="2"/>
  <c r="F228" i="2"/>
  <c r="F218" i="2"/>
  <c r="F219" i="2"/>
  <c r="F220" i="2"/>
  <c r="F221" i="2"/>
  <c r="F222" i="2"/>
  <c r="F223" i="2"/>
  <c r="F224" i="2"/>
  <c r="F225" i="2"/>
  <c r="F226" i="2"/>
  <c r="F227" i="2"/>
  <c r="F217" i="2"/>
  <c r="F206" i="2"/>
  <c r="F207" i="2"/>
  <c r="F208" i="2"/>
  <c r="F209" i="2"/>
  <c r="F210" i="2"/>
  <c r="F211" i="2"/>
  <c r="F212" i="2"/>
  <c r="F213" i="2"/>
  <c r="F214" i="2"/>
  <c r="F215" i="2"/>
  <c r="F216" i="2"/>
  <c r="F205" i="2"/>
  <c r="F194" i="2"/>
  <c r="F195" i="2"/>
  <c r="F196" i="2"/>
  <c r="F197" i="2"/>
  <c r="F198" i="2"/>
  <c r="F199" i="2"/>
  <c r="F200" i="2"/>
  <c r="F201" i="2"/>
  <c r="F202" i="2"/>
  <c r="F203" i="2"/>
  <c r="F204" i="2"/>
  <c r="F193" i="2"/>
  <c r="F182" i="2"/>
  <c r="F183" i="2"/>
  <c r="F184" i="2"/>
  <c r="F185" i="2"/>
  <c r="F186" i="2"/>
  <c r="F187" i="2"/>
  <c r="F188" i="2"/>
  <c r="F189" i="2"/>
  <c r="F190" i="2"/>
  <c r="F191" i="2"/>
  <c r="F192" i="2"/>
  <c r="F181" i="2"/>
  <c r="F170" i="2"/>
  <c r="F171" i="2"/>
  <c r="F172" i="2"/>
  <c r="F173" i="2"/>
  <c r="F174" i="2"/>
  <c r="F175" i="2"/>
  <c r="F176" i="2"/>
  <c r="F177" i="2"/>
  <c r="F178" i="2"/>
  <c r="F179" i="2"/>
  <c r="F180" i="2"/>
  <c r="F169" i="2"/>
  <c r="F158" i="2"/>
  <c r="F159" i="2"/>
  <c r="F160" i="2"/>
  <c r="F161" i="2"/>
  <c r="F162" i="2"/>
  <c r="F163" i="2"/>
  <c r="F164" i="2"/>
  <c r="F165" i="2"/>
  <c r="F166" i="2"/>
  <c r="F167" i="2"/>
  <c r="F168" i="2"/>
  <c r="F157" i="2"/>
  <c r="F146" i="2"/>
  <c r="F147" i="2"/>
  <c r="F148" i="2"/>
  <c r="F149" i="2"/>
  <c r="F150" i="2"/>
  <c r="F151" i="2"/>
  <c r="F152" i="2"/>
  <c r="F153" i="2"/>
  <c r="F154" i="2"/>
  <c r="F155" i="2"/>
  <c r="F156" i="2"/>
  <c r="F145" i="2"/>
  <c r="F134" i="2"/>
  <c r="F135" i="2"/>
  <c r="F136" i="2"/>
  <c r="F137" i="2"/>
  <c r="F138" i="2"/>
  <c r="F139" i="2"/>
  <c r="F140" i="2"/>
  <c r="F141" i="2"/>
  <c r="F142" i="2"/>
  <c r="F143" i="2"/>
  <c r="F144" i="2"/>
  <c r="F133" i="2"/>
  <c r="F122" i="2"/>
  <c r="F123" i="2"/>
  <c r="F124" i="2"/>
  <c r="F125" i="2"/>
  <c r="F126" i="2"/>
  <c r="F127" i="2"/>
  <c r="F128" i="2"/>
  <c r="F129" i="2"/>
  <c r="F130" i="2"/>
  <c r="F131" i="2"/>
  <c r="F132" i="2"/>
  <c r="F121" i="2"/>
  <c r="F110" i="2"/>
  <c r="F111" i="2"/>
  <c r="F112" i="2"/>
  <c r="F113" i="2"/>
  <c r="F114" i="2"/>
  <c r="F115" i="2"/>
  <c r="F116" i="2"/>
  <c r="F117" i="2"/>
  <c r="F118" i="2"/>
  <c r="F119" i="2"/>
  <c r="F120" i="2"/>
  <c r="F109" i="2"/>
  <c r="F108" i="2"/>
  <c r="F98" i="2"/>
  <c r="F99" i="2"/>
  <c r="F100" i="2"/>
  <c r="F101" i="2"/>
  <c r="F102" i="2"/>
  <c r="F103" i="2"/>
  <c r="F104" i="2"/>
  <c r="F105" i="2"/>
  <c r="F106" i="2"/>
  <c r="F107" i="2"/>
  <c r="F97" i="2"/>
  <c r="F86" i="2"/>
  <c r="F87" i="2"/>
  <c r="F88" i="2"/>
  <c r="F89" i="2"/>
  <c r="F90" i="2"/>
  <c r="F91" i="2"/>
  <c r="F92" i="2"/>
  <c r="F93" i="2"/>
  <c r="F94" i="2"/>
  <c r="F95" i="2"/>
  <c r="F96" i="2"/>
  <c r="F85" i="2"/>
  <c r="F74" i="2"/>
  <c r="F75" i="2"/>
  <c r="F76" i="2"/>
  <c r="F77" i="2"/>
  <c r="F78" i="2"/>
  <c r="F79" i="2"/>
  <c r="F80" i="2"/>
  <c r="F81" i="2"/>
  <c r="F82" i="2"/>
  <c r="F83" i="2"/>
  <c r="F84" i="2"/>
  <c r="F73" i="2"/>
  <c r="F62" i="2"/>
  <c r="F63" i="2"/>
  <c r="F64" i="2"/>
  <c r="F65" i="2"/>
  <c r="F66" i="2"/>
  <c r="F67" i="2"/>
  <c r="F68" i="2"/>
  <c r="F69" i="2"/>
  <c r="F70" i="2"/>
  <c r="F71" i="2"/>
  <c r="F72" i="2"/>
  <c r="F61" i="2"/>
  <c r="F50" i="2"/>
  <c r="F51" i="2"/>
  <c r="F52" i="2"/>
  <c r="F53" i="2"/>
  <c r="F54" i="2"/>
  <c r="F55" i="2"/>
  <c r="F56" i="2"/>
  <c r="F57" i="2"/>
  <c r="F58" i="2"/>
  <c r="F59" i="2"/>
  <c r="F60" i="2"/>
  <c r="F49" i="2"/>
  <c r="F38" i="2"/>
  <c r="F39" i="2"/>
  <c r="F40" i="2"/>
  <c r="F41" i="2"/>
  <c r="F42" i="2"/>
  <c r="F43" i="2"/>
  <c r="F44" i="2"/>
  <c r="F45" i="2"/>
  <c r="F46" i="2"/>
  <c r="F47" i="2"/>
  <c r="F48" i="2"/>
  <c r="F37" i="2"/>
  <c r="F26" i="2"/>
  <c r="F28" i="2"/>
  <c r="F29" i="2"/>
  <c r="F30" i="2"/>
  <c r="F31" i="2"/>
  <c r="F32" i="2"/>
  <c r="F33" i="2"/>
  <c r="F34" i="2"/>
  <c r="F35" i="2"/>
  <c r="F36" i="2"/>
  <c r="F20" i="2"/>
  <c r="F22" i="2"/>
  <c r="F6" i="2"/>
  <c r="F9" i="2"/>
  <c r="F5" i="2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B2" i="3"/>
  <c r="L28" i="1"/>
  <c r="J28" i="1"/>
  <c r="I28" i="1"/>
  <c r="G28" i="1"/>
  <c r="H28" i="1" s="1"/>
  <c r="L27" i="1"/>
  <c r="J27" i="1"/>
  <c r="I27" i="1"/>
  <c r="G27" i="1"/>
  <c r="H27" i="1" s="1"/>
  <c r="L26" i="1"/>
  <c r="J26" i="1"/>
  <c r="I26" i="1"/>
  <c r="G26" i="1"/>
  <c r="H26" i="1" s="1"/>
  <c r="L25" i="1"/>
  <c r="J25" i="1"/>
  <c r="I25" i="1"/>
  <c r="G25" i="1"/>
  <c r="H25" i="1" s="1"/>
  <c r="L24" i="1"/>
  <c r="J24" i="1"/>
  <c r="I24" i="1"/>
  <c r="G24" i="1"/>
  <c r="H24" i="1" s="1"/>
  <c r="P23" i="1"/>
  <c r="L23" i="1"/>
  <c r="J23" i="1"/>
  <c r="I23" i="1"/>
  <c r="G23" i="1"/>
  <c r="H23" i="1" s="1"/>
  <c r="P22" i="1"/>
  <c r="L22" i="1"/>
  <c r="J22" i="1"/>
  <c r="I22" i="1"/>
  <c r="H22" i="1"/>
  <c r="G22" i="1"/>
  <c r="P21" i="1"/>
  <c r="L21" i="1"/>
  <c r="J21" i="1"/>
  <c r="I21" i="1"/>
  <c r="G21" i="1"/>
  <c r="H21" i="1" s="1"/>
  <c r="P20" i="1"/>
  <c r="L20" i="1"/>
  <c r="J20" i="1"/>
  <c r="I20" i="1"/>
  <c r="G20" i="1"/>
  <c r="H20" i="1" s="1"/>
  <c r="P19" i="1"/>
  <c r="L19" i="1"/>
  <c r="J19" i="1"/>
  <c r="I19" i="1"/>
  <c r="H19" i="1"/>
  <c r="G19" i="1"/>
  <c r="P18" i="1"/>
  <c r="L18" i="1"/>
  <c r="J18" i="1"/>
  <c r="I18" i="1"/>
  <c r="G18" i="1"/>
  <c r="H18" i="1" s="1"/>
  <c r="P17" i="1"/>
  <c r="L17" i="1"/>
  <c r="J17" i="1"/>
  <c r="I17" i="1"/>
  <c r="G17" i="1"/>
  <c r="H17" i="1" s="1"/>
  <c r="P16" i="1"/>
  <c r="L16" i="1"/>
  <c r="J16" i="1"/>
  <c r="I16" i="1"/>
  <c r="H16" i="1"/>
  <c r="G16" i="1"/>
  <c r="P15" i="1"/>
  <c r="L15" i="1"/>
  <c r="J15" i="1"/>
  <c r="I15" i="1"/>
  <c r="G15" i="1"/>
  <c r="H15" i="1" s="1"/>
  <c r="P14" i="1"/>
  <c r="L14" i="1"/>
  <c r="J14" i="1"/>
  <c r="I14" i="1"/>
  <c r="G14" i="1"/>
  <c r="H14" i="1" s="1"/>
  <c r="P13" i="1"/>
  <c r="L13" i="1"/>
  <c r="J13" i="1"/>
  <c r="I13" i="1"/>
  <c r="H13" i="1"/>
  <c r="G13" i="1"/>
  <c r="P12" i="1"/>
  <c r="L12" i="1"/>
  <c r="J12" i="1"/>
  <c r="I12" i="1"/>
  <c r="G12" i="1"/>
  <c r="H12" i="1" s="1"/>
  <c r="P11" i="1"/>
  <c r="L11" i="1"/>
  <c r="J11" i="1"/>
  <c r="I11" i="1"/>
  <c r="G11" i="1"/>
  <c r="H11" i="1" s="1"/>
  <c r="P10" i="1"/>
  <c r="L10" i="1"/>
  <c r="J10" i="1"/>
  <c r="I10" i="1"/>
  <c r="H10" i="1"/>
  <c r="G10" i="1"/>
  <c r="P9" i="1"/>
  <c r="L9" i="1"/>
  <c r="J9" i="1"/>
  <c r="I9" i="1"/>
  <c r="G9" i="1"/>
  <c r="H9" i="1" s="1"/>
  <c r="P8" i="1"/>
  <c r="L8" i="1"/>
  <c r="J8" i="1"/>
  <c r="I8" i="1"/>
  <c r="G8" i="1"/>
  <c r="H8" i="1" s="1"/>
  <c r="P7" i="1"/>
  <c r="L7" i="1"/>
  <c r="J7" i="1"/>
  <c r="I7" i="1"/>
  <c r="H7" i="1"/>
  <c r="G7" i="1"/>
  <c r="P6" i="1"/>
  <c r="L6" i="1"/>
  <c r="J6" i="1"/>
  <c r="I6" i="1"/>
  <c r="G6" i="1"/>
  <c r="H6" i="1" s="1"/>
  <c r="P5" i="1"/>
  <c r="L5" i="1"/>
  <c r="J5" i="1"/>
  <c r="I5" i="1"/>
  <c r="G5" i="1"/>
  <c r="H5" i="1" s="1"/>
  <c r="K5" i="1" s="1"/>
  <c r="P4" i="1"/>
  <c r="L4" i="1"/>
  <c r="J4" i="1"/>
  <c r="I4" i="1"/>
  <c r="H4" i="1"/>
  <c r="G4" i="1"/>
  <c r="P3" i="1"/>
  <c r="I3" i="1"/>
  <c r="G3" i="1"/>
  <c r="H3" i="1" s="1"/>
  <c r="F27" i="2" l="1"/>
  <c r="F25" i="2"/>
  <c r="F24" i="2"/>
  <c r="F23" i="2"/>
  <c r="F18" i="2"/>
  <c r="F17" i="2"/>
  <c r="F16" i="2"/>
  <c r="F15" i="2"/>
  <c r="F14" i="2"/>
  <c r="F4" i="2"/>
  <c r="K14" i="1"/>
  <c r="K16" i="1"/>
  <c r="K19" i="1"/>
  <c r="K22" i="1"/>
  <c r="K13" i="1"/>
  <c r="M13" i="1" s="1"/>
  <c r="K10" i="1"/>
  <c r="M10" i="1" s="1"/>
  <c r="K7" i="1"/>
  <c r="M7" i="1" s="1"/>
  <c r="K4" i="1"/>
  <c r="M4" i="1" s="1"/>
  <c r="K12" i="1"/>
  <c r="M12" i="1" s="1"/>
  <c r="M16" i="1"/>
  <c r="K26" i="1"/>
  <c r="M26" i="1" s="1"/>
  <c r="K8" i="1"/>
  <c r="K6" i="1"/>
  <c r="K15" i="1"/>
  <c r="M19" i="1"/>
  <c r="K24" i="1"/>
  <c r="M24" i="1" s="1"/>
  <c r="M6" i="1"/>
  <c r="M27" i="1"/>
  <c r="K11" i="1"/>
  <c r="K9" i="1"/>
  <c r="M11" i="1"/>
  <c r="K25" i="1"/>
  <c r="M25" i="1" s="1"/>
  <c r="K23" i="1"/>
  <c r="M5" i="1"/>
  <c r="M14" i="1"/>
  <c r="K21" i="1"/>
  <c r="M23" i="1"/>
  <c r="M3" i="1"/>
  <c r="M21" i="1"/>
  <c r="K17" i="1"/>
  <c r="M17" i="1" s="1"/>
  <c r="M8" i="1"/>
  <c r="K27" i="1"/>
  <c r="M15" i="1"/>
  <c r="K20" i="1"/>
  <c r="M20" i="1" s="1"/>
  <c r="K18" i="1"/>
  <c r="M18" i="1" s="1"/>
  <c r="M22" i="1"/>
  <c r="K28" i="1"/>
  <c r="M28" i="1" s="1"/>
  <c r="M9" i="1"/>
</calcChain>
</file>

<file path=xl/sharedStrings.xml><?xml version="1.0" encoding="utf-8"?>
<sst xmlns="http://schemas.openxmlformats.org/spreadsheetml/2006/main" count="38" uniqueCount="21">
  <si>
    <t xml:space="preserve">Year </t>
  </si>
  <si>
    <t>Nifty 50</t>
  </si>
  <si>
    <t>Nifty PE</t>
  </si>
  <si>
    <t>Nifty PB</t>
  </si>
  <si>
    <t xml:space="preserve">10yr Yeild </t>
  </si>
  <si>
    <t>Buffett Indicator</t>
  </si>
  <si>
    <t>Earning Yeild</t>
  </si>
  <si>
    <t>BEER ratio</t>
  </si>
  <si>
    <t>Percentile</t>
  </si>
  <si>
    <t>Valuation Score</t>
  </si>
  <si>
    <t>Nifty</t>
  </si>
  <si>
    <t>Nifty aft 5yr</t>
  </si>
  <si>
    <t>Future 5yr CAGR</t>
  </si>
  <si>
    <t xml:space="preserve">PE </t>
  </si>
  <si>
    <t>PB</t>
  </si>
  <si>
    <t>BEER</t>
  </si>
  <si>
    <t>Buffett</t>
  </si>
  <si>
    <t>Year</t>
  </si>
  <si>
    <t>(USD) in Trillions</t>
  </si>
  <si>
    <t>GDP</t>
  </si>
  <si>
    <t>CY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</si>
</sst>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9" fontId="0" fillId="0" borderId="0" xfId="1" applyFont="1"/>
    <xf numFmtId="165" fontId="0" fillId="0" borderId="0" xfId="1" applyNumberFormat="1" applyFont="1"/>
    <xf numFmtId="10" fontId="0" fillId="0" borderId="0" xfId="1" applyNumberFormat="1" applyFont="1"/>
    <xf numFmtId="2" fontId="0" fillId="0" borderId="0" xfId="0" applyNumberFormat="1"/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P3" sqref="P3"/>
    </sheetView>
  </sheetViews>
  <sheetFormatPr defaultRowHeight="14.4" x14ac:dyDescent="0.3"/>
  <sheetData>
    <row r="1" spans="1:1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9"/>
      <c r="K1" s="19"/>
      <c r="L1" s="19"/>
      <c r="M1" s="20" t="s">
        <v>9</v>
      </c>
      <c r="N1" s="18" t="s">
        <v>10</v>
      </c>
      <c r="O1" s="18" t="s">
        <v>11</v>
      </c>
      <c r="P1" s="17" t="s">
        <v>12</v>
      </c>
    </row>
    <row r="2" spans="1:16" x14ac:dyDescent="0.3">
      <c r="A2" s="18"/>
      <c r="B2" s="18"/>
      <c r="C2" s="18"/>
      <c r="D2" s="18"/>
      <c r="E2" s="18"/>
      <c r="F2" s="18"/>
      <c r="G2" s="18"/>
      <c r="H2" s="18"/>
      <c r="I2" s="1" t="s">
        <v>13</v>
      </c>
      <c r="J2" s="1" t="s">
        <v>14</v>
      </c>
      <c r="K2" s="1" t="s">
        <v>15</v>
      </c>
      <c r="L2" s="1" t="s">
        <v>16</v>
      </c>
      <c r="M2" s="20"/>
      <c r="N2" s="18"/>
      <c r="O2" s="18"/>
      <c r="P2" s="17"/>
    </row>
    <row r="3" spans="1:16" x14ac:dyDescent="0.3">
      <c r="A3" s="1">
        <v>2000</v>
      </c>
      <c r="B3" s="1">
        <v>1263.55</v>
      </c>
      <c r="C3" s="1">
        <v>19.2</v>
      </c>
      <c r="D3" s="1">
        <v>4.1399999999999997</v>
      </c>
      <c r="E3" s="2">
        <v>0.10879999999999999</v>
      </c>
      <c r="F3" s="3">
        <v>48.174750076422811</v>
      </c>
      <c r="G3" s="4">
        <f t="shared" ref="G3:G28" si="0">(1/C3)</f>
        <v>5.2083333333333336E-2</v>
      </c>
      <c r="H3" s="3">
        <f t="shared" ref="H3:H28" si="1">G3/E3</f>
        <v>0.4787071078431373</v>
      </c>
      <c r="I3" s="4">
        <f t="shared" ref="I3:I28" si="2">_xlfn.PERCENTRANK.INC($C$3:$C$28,C3)</f>
        <v>0.32</v>
      </c>
      <c r="J3" s="4">
        <f>_xlfn.PERCENTRANK.INC($D$3:$D$28,D3)</f>
        <v>0.8</v>
      </c>
      <c r="K3" s="4">
        <f>_xlfn.PERCENTRANK.INC($H$3:$H$28,H3)</f>
        <v>0.08</v>
      </c>
      <c r="L3" s="4">
        <f>_xlfn.PERCENTRANK.INC($F$3:$F$28,F3)</f>
        <v>0.08</v>
      </c>
      <c r="M3" s="4">
        <f t="shared" ref="M3:M28" si="3">(I3*0.4)+(J3*0.2)+(K3*0.2)+((1-L3)*0.2)</f>
        <v>0.4880000000000001</v>
      </c>
      <c r="N3" s="1">
        <v>1263.55</v>
      </c>
      <c r="O3" s="1">
        <v>2836.55</v>
      </c>
      <c r="P3" s="5">
        <f>(O3/N3)^(1/5)-1</f>
        <v>0.17554593010803909</v>
      </c>
    </row>
    <row r="4" spans="1:16" x14ac:dyDescent="0.3">
      <c r="A4" s="1">
        <v>2001</v>
      </c>
      <c r="B4" s="1">
        <v>1059.05</v>
      </c>
      <c r="C4" s="1">
        <v>15.35</v>
      </c>
      <c r="D4" s="1">
        <v>2.38</v>
      </c>
      <c r="E4" s="2">
        <v>7.9390000000000002E-2</v>
      </c>
      <c r="F4" s="3">
        <v>30.646751946410717</v>
      </c>
      <c r="G4" s="4">
        <f t="shared" si="0"/>
        <v>6.5146579804560262E-2</v>
      </c>
      <c r="H4" s="3">
        <f t="shared" si="1"/>
        <v>0.82058924051593729</v>
      </c>
      <c r="I4" s="4">
        <f t="shared" si="2"/>
        <v>0.12</v>
      </c>
      <c r="J4" s="4">
        <f t="shared" ref="J4:J28" si="4">_xlfn.PERCENTRANK.INC($D$3:$D$28,D4)</f>
        <v>0</v>
      </c>
      <c r="K4" s="4">
        <f t="shared" ref="K4:K28" si="5">_xlfn.PERCENTRANK.INC($H$3:$H$28,H4)</f>
        <v>0.84</v>
      </c>
      <c r="L4" s="4">
        <f t="shared" ref="L4:L28" si="6">_xlfn.PERCENTRANK.INC($F$3:$F$28,F4)</f>
        <v>0</v>
      </c>
      <c r="M4" s="4">
        <f t="shared" si="3"/>
        <v>0.41600000000000004</v>
      </c>
      <c r="N4" s="1">
        <v>1059.05</v>
      </c>
      <c r="O4" s="1">
        <v>3966.4</v>
      </c>
      <c r="P4" s="5">
        <f t="shared" ref="P4:P23" si="7">(O4/N4)^(1/5)-1</f>
        <v>0.30225492621924466</v>
      </c>
    </row>
    <row r="5" spans="1:16" x14ac:dyDescent="0.3">
      <c r="A5" s="1">
        <v>2002</v>
      </c>
      <c r="B5" s="1">
        <v>1093.5</v>
      </c>
      <c r="C5" s="1">
        <v>14.83</v>
      </c>
      <c r="D5" s="1">
        <v>2.39</v>
      </c>
      <c r="E5" s="2">
        <v>6.0830000000000002E-2</v>
      </c>
      <c r="F5" s="3">
        <v>33.438060697170798</v>
      </c>
      <c r="G5" s="4">
        <f t="shared" si="0"/>
        <v>6.7430883344571813E-2</v>
      </c>
      <c r="H5" s="3">
        <f t="shared" si="1"/>
        <v>1.1085136173692556</v>
      </c>
      <c r="I5" s="4">
        <f t="shared" si="2"/>
        <v>0.04</v>
      </c>
      <c r="J5" s="4">
        <f t="shared" si="4"/>
        <v>0.04</v>
      </c>
      <c r="K5" s="4">
        <f t="shared" si="5"/>
        <v>0.96</v>
      </c>
      <c r="L5" s="4">
        <f t="shared" si="6"/>
        <v>0.04</v>
      </c>
      <c r="M5" s="4">
        <f t="shared" si="3"/>
        <v>0.40800000000000003</v>
      </c>
      <c r="N5" s="1">
        <v>1093.5</v>
      </c>
      <c r="O5" s="1">
        <v>6138.6</v>
      </c>
      <c r="P5" s="5">
        <f t="shared" si="7"/>
        <v>0.41205011182059526</v>
      </c>
    </row>
    <row r="6" spans="1:16" x14ac:dyDescent="0.3">
      <c r="A6" s="1">
        <v>2003</v>
      </c>
      <c r="B6" s="1">
        <v>1879.75</v>
      </c>
      <c r="C6" s="1">
        <v>20.73</v>
      </c>
      <c r="D6" s="1">
        <v>4.05</v>
      </c>
      <c r="E6" s="2">
        <v>5.1220000000000002E-2</v>
      </c>
      <c r="F6" s="3">
        <v>50.846570671010618</v>
      </c>
      <c r="G6" s="4">
        <f t="shared" si="0"/>
        <v>4.8239266763145196E-2</v>
      </c>
      <c r="H6" s="3">
        <f t="shared" si="1"/>
        <v>0.9418052862777273</v>
      </c>
      <c r="I6" s="4">
        <f t="shared" si="2"/>
        <v>0.36</v>
      </c>
      <c r="J6" s="4">
        <f t="shared" si="4"/>
        <v>0.76</v>
      </c>
      <c r="K6" s="4">
        <f t="shared" si="5"/>
        <v>0.88</v>
      </c>
      <c r="L6" s="4">
        <f t="shared" si="6"/>
        <v>0.12</v>
      </c>
      <c r="M6" s="4">
        <f t="shared" si="3"/>
        <v>0.64800000000000013</v>
      </c>
      <c r="N6" s="1">
        <v>1879.75</v>
      </c>
      <c r="O6" s="1">
        <v>2959.15</v>
      </c>
      <c r="P6" s="5">
        <f t="shared" si="7"/>
        <v>9.4998129591919334E-2</v>
      </c>
    </row>
    <row r="7" spans="1:16" x14ac:dyDescent="0.3">
      <c r="A7" s="1">
        <v>2004</v>
      </c>
      <c r="B7" s="1">
        <v>2080.5</v>
      </c>
      <c r="C7" s="1">
        <v>15.32</v>
      </c>
      <c r="D7" s="1">
        <v>3.61</v>
      </c>
      <c r="E7" s="2">
        <v>6.7059999999999995E-2</v>
      </c>
      <c r="F7" s="3">
        <v>58.597294477825038</v>
      </c>
      <c r="G7" s="4">
        <f t="shared" si="0"/>
        <v>6.5274151436031325E-2</v>
      </c>
      <c r="H7" s="3">
        <f t="shared" si="1"/>
        <v>0.97336939212692108</v>
      </c>
      <c r="I7" s="4">
        <f t="shared" si="2"/>
        <v>0.08</v>
      </c>
      <c r="J7" s="4">
        <f t="shared" si="4"/>
        <v>0.52</v>
      </c>
      <c r="K7" s="4">
        <f t="shared" si="5"/>
        <v>0.92</v>
      </c>
      <c r="L7" s="4">
        <f t="shared" si="6"/>
        <v>0.16</v>
      </c>
      <c r="M7" s="4">
        <f t="shared" si="3"/>
        <v>0.4880000000000001</v>
      </c>
      <c r="N7" s="1">
        <v>2080.5</v>
      </c>
      <c r="O7" s="1">
        <v>5201.05</v>
      </c>
      <c r="P7" s="5">
        <f t="shared" si="7"/>
        <v>0.20111519664110888</v>
      </c>
    </row>
    <row r="8" spans="1:16" x14ac:dyDescent="0.3">
      <c r="A8" s="1">
        <v>2005</v>
      </c>
      <c r="B8" s="1">
        <v>2836.55</v>
      </c>
      <c r="C8" s="1">
        <v>17.16</v>
      </c>
      <c r="D8" s="1">
        <v>4.37</v>
      </c>
      <c r="E8" s="2">
        <v>7.1099999999999997E-2</v>
      </c>
      <c r="F8" s="3">
        <v>76.152114531334092</v>
      </c>
      <c r="G8" s="4">
        <f t="shared" si="0"/>
        <v>5.8275058275058272E-2</v>
      </c>
      <c r="H8" s="3">
        <f t="shared" si="1"/>
        <v>0.81962107278562979</v>
      </c>
      <c r="I8" s="4">
        <f t="shared" si="2"/>
        <v>0.2</v>
      </c>
      <c r="J8" s="4">
        <f t="shared" si="4"/>
        <v>0.88</v>
      </c>
      <c r="K8" s="4">
        <f t="shared" si="5"/>
        <v>0.8</v>
      </c>
      <c r="L8" s="4">
        <f t="shared" si="6"/>
        <v>0.4</v>
      </c>
      <c r="M8" s="4">
        <f t="shared" si="3"/>
        <v>0.53600000000000003</v>
      </c>
      <c r="N8" s="1">
        <v>2836.55</v>
      </c>
      <c r="O8" s="1">
        <v>6134.5</v>
      </c>
      <c r="P8" s="5">
        <f t="shared" si="7"/>
        <v>0.1668035599601092</v>
      </c>
    </row>
    <row r="9" spans="1:16" x14ac:dyDescent="0.3">
      <c r="A9" s="1">
        <v>2006</v>
      </c>
      <c r="B9" s="1">
        <v>3966.4</v>
      </c>
      <c r="C9" s="1">
        <v>21.26</v>
      </c>
      <c r="D9" s="1">
        <v>5.07</v>
      </c>
      <c r="E9" s="2">
        <v>7.6189999999999994E-2</v>
      </c>
      <c r="F9" s="3">
        <v>95.215151957414861</v>
      </c>
      <c r="G9" s="4">
        <f t="shared" si="0"/>
        <v>4.7036688617121354E-2</v>
      </c>
      <c r="H9" s="3">
        <f t="shared" si="1"/>
        <v>0.61736039660219655</v>
      </c>
      <c r="I9" s="4">
        <f t="shared" si="2"/>
        <v>0.44</v>
      </c>
      <c r="J9" s="4">
        <f t="shared" si="4"/>
        <v>0.96</v>
      </c>
      <c r="K9" s="4">
        <f t="shared" si="5"/>
        <v>0.48</v>
      </c>
      <c r="L9" s="4">
        <f t="shared" si="6"/>
        <v>0.56000000000000005</v>
      </c>
      <c r="M9" s="4">
        <f t="shared" si="3"/>
        <v>0.55199999999999994</v>
      </c>
      <c r="N9" s="1">
        <v>3966.4</v>
      </c>
      <c r="O9" s="1">
        <v>4624.3</v>
      </c>
      <c r="P9" s="5">
        <f t="shared" si="7"/>
        <v>3.1169118630373083E-2</v>
      </c>
    </row>
    <row r="10" spans="1:16" x14ac:dyDescent="0.3">
      <c r="A10" s="1">
        <v>2007</v>
      </c>
      <c r="B10" s="1">
        <v>6138.6</v>
      </c>
      <c r="C10" s="1">
        <v>27.62</v>
      </c>
      <c r="D10" s="1">
        <v>6.39</v>
      </c>
      <c r="E10" s="2">
        <v>7.7909999999999993E-2</v>
      </c>
      <c r="F10" s="3">
        <v>161.2394537263248</v>
      </c>
      <c r="G10" s="4">
        <f t="shared" si="0"/>
        <v>3.6205648081100647E-2</v>
      </c>
      <c r="H10" s="3">
        <f t="shared" si="1"/>
        <v>0.46471118060711913</v>
      </c>
      <c r="I10" s="4">
        <f t="shared" si="2"/>
        <v>0.92</v>
      </c>
      <c r="J10" s="4">
        <f t="shared" si="4"/>
        <v>1</v>
      </c>
      <c r="K10" s="4">
        <f t="shared" si="5"/>
        <v>0.04</v>
      </c>
      <c r="L10" s="4">
        <f t="shared" si="6"/>
        <v>1</v>
      </c>
      <c r="M10" s="4">
        <f t="shared" si="3"/>
        <v>0.57600000000000007</v>
      </c>
      <c r="N10" s="1">
        <v>6138.6</v>
      </c>
      <c r="O10" s="1">
        <v>5905.1</v>
      </c>
      <c r="P10" s="5">
        <f t="shared" si="7"/>
        <v>-7.7260631146349734E-3</v>
      </c>
    </row>
    <row r="11" spans="1:16" x14ac:dyDescent="0.3">
      <c r="A11" s="1">
        <v>2008</v>
      </c>
      <c r="B11" s="1">
        <v>2959.15</v>
      </c>
      <c r="C11" s="1">
        <v>12.97</v>
      </c>
      <c r="D11" s="1">
        <v>2.44</v>
      </c>
      <c r="E11" s="2">
        <v>5.2600000000000001E-2</v>
      </c>
      <c r="F11" s="3">
        <v>66.00310428721501</v>
      </c>
      <c r="G11" s="4">
        <f t="shared" si="0"/>
        <v>7.7101002313030062E-2</v>
      </c>
      <c r="H11" s="3">
        <f t="shared" si="1"/>
        <v>1.4657985230614079</v>
      </c>
      <c r="I11" s="4">
        <f t="shared" si="2"/>
        <v>0</v>
      </c>
      <c r="J11" s="4">
        <f t="shared" si="4"/>
        <v>0.08</v>
      </c>
      <c r="K11" s="4">
        <f t="shared" si="5"/>
        <v>1</v>
      </c>
      <c r="L11" s="4">
        <f t="shared" si="6"/>
        <v>0.2</v>
      </c>
      <c r="M11" s="4">
        <f t="shared" si="3"/>
        <v>0.37600000000000006</v>
      </c>
      <c r="N11" s="1">
        <v>2959.15</v>
      </c>
      <c r="O11" s="1">
        <v>6304</v>
      </c>
      <c r="P11" s="5">
        <f t="shared" si="7"/>
        <v>0.16329495557402285</v>
      </c>
    </row>
    <row r="12" spans="1:16" x14ac:dyDescent="0.3">
      <c r="A12" s="1">
        <v>2009</v>
      </c>
      <c r="B12" s="1">
        <v>5201.05</v>
      </c>
      <c r="C12" s="1">
        <v>23.17</v>
      </c>
      <c r="D12" s="1">
        <v>3.65</v>
      </c>
      <c r="E12" s="2">
        <v>7.6789999999999997E-2</v>
      </c>
      <c r="F12" s="3">
        <v>101.89448567683861</v>
      </c>
      <c r="G12" s="4">
        <f t="shared" si="0"/>
        <v>4.3159257660768231E-2</v>
      </c>
      <c r="H12" s="3">
        <f t="shared" si="1"/>
        <v>0.562042683432325</v>
      </c>
      <c r="I12" s="4">
        <f t="shared" si="2"/>
        <v>0.68</v>
      </c>
      <c r="J12" s="4">
        <f t="shared" si="4"/>
        <v>0.56000000000000005</v>
      </c>
      <c r="K12" s="4">
        <f t="shared" si="5"/>
        <v>0.28000000000000003</v>
      </c>
      <c r="L12" s="4">
        <f t="shared" si="6"/>
        <v>0.72</v>
      </c>
      <c r="M12" s="4">
        <f t="shared" si="3"/>
        <v>0.496</v>
      </c>
      <c r="N12" s="1">
        <v>5201.05</v>
      </c>
      <c r="O12" s="1">
        <v>8282.7000000000007</v>
      </c>
      <c r="P12" s="5">
        <f t="shared" si="7"/>
        <v>9.752944502106442E-2</v>
      </c>
    </row>
    <row r="13" spans="1:16" x14ac:dyDescent="0.3">
      <c r="A13" s="1">
        <v>2010</v>
      </c>
      <c r="B13" s="1">
        <v>6134.5</v>
      </c>
      <c r="C13" s="1">
        <v>24.48</v>
      </c>
      <c r="D13" s="1">
        <v>3.87</v>
      </c>
      <c r="E13" s="2">
        <v>7.9130000000000006E-2</v>
      </c>
      <c r="F13" s="3">
        <v>105.18295170366203</v>
      </c>
      <c r="G13" s="4">
        <f t="shared" si="0"/>
        <v>4.084967320261438E-2</v>
      </c>
      <c r="H13" s="3">
        <f t="shared" si="1"/>
        <v>0.5162349703350736</v>
      </c>
      <c r="I13" s="4">
        <f t="shared" si="2"/>
        <v>0.8</v>
      </c>
      <c r="J13" s="4">
        <f t="shared" si="4"/>
        <v>0.68</v>
      </c>
      <c r="K13" s="4">
        <f t="shared" si="5"/>
        <v>0.16</v>
      </c>
      <c r="L13" s="4">
        <f t="shared" si="6"/>
        <v>0.76</v>
      </c>
      <c r="M13" s="4">
        <f t="shared" si="3"/>
        <v>0.53600000000000014</v>
      </c>
      <c r="N13" s="1">
        <v>6134.5</v>
      </c>
      <c r="O13" s="1">
        <v>7964.35</v>
      </c>
      <c r="P13" s="5">
        <f t="shared" si="7"/>
        <v>5.3596291443563038E-2</v>
      </c>
    </row>
    <row r="14" spans="1:16" x14ac:dyDescent="0.3">
      <c r="A14" s="1">
        <v>2011</v>
      </c>
      <c r="B14" s="1">
        <v>4624.3</v>
      </c>
      <c r="C14" s="1">
        <v>16.75</v>
      </c>
      <c r="D14" s="1">
        <v>2.76</v>
      </c>
      <c r="E14" s="2">
        <v>8.5599999999999996E-2</v>
      </c>
      <c r="F14" s="3">
        <v>68.270064169354058</v>
      </c>
      <c r="G14" s="4">
        <f t="shared" si="0"/>
        <v>5.9701492537313432E-2</v>
      </c>
      <c r="H14" s="3">
        <f t="shared" si="1"/>
        <v>0.69744734272562425</v>
      </c>
      <c r="I14" s="4">
        <f t="shared" si="2"/>
        <v>0.16</v>
      </c>
      <c r="J14" s="4">
        <f t="shared" si="4"/>
        <v>0.12</v>
      </c>
      <c r="K14" s="4">
        <f t="shared" si="5"/>
        <v>0.72</v>
      </c>
      <c r="L14" s="4">
        <f t="shared" si="6"/>
        <v>0.28000000000000003</v>
      </c>
      <c r="M14" s="4">
        <f t="shared" si="3"/>
        <v>0.376</v>
      </c>
      <c r="N14" s="1">
        <v>4624.3</v>
      </c>
      <c r="O14" s="1">
        <v>8185.8</v>
      </c>
      <c r="P14" s="5">
        <f t="shared" si="7"/>
        <v>0.12099332271755414</v>
      </c>
    </row>
    <row r="15" spans="1:16" x14ac:dyDescent="0.3">
      <c r="A15" s="1">
        <v>2012</v>
      </c>
      <c r="B15" s="1">
        <v>5905.1</v>
      </c>
      <c r="C15" s="1">
        <v>18.68</v>
      </c>
      <c r="D15" s="1">
        <v>3.13</v>
      </c>
      <c r="E15" s="2">
        <v>8.0490000000000006E-2</v>
      </c>
      <c r="F15" s="3">
        <v>76.077243242878268</v>
      </c>
      <c r="G15" s="4">
        <f t="shared" si="0"/>
        <v>5.353319057815846E-2</v>
      </c>
      <c r="H15" s="3">
        <f t="shared" si="1"/>
        <v>0.66509119863533928</v>
      </c>
      <c r="I15" s="4">
        <f t="shared" si="2"/>
        <v>0.24</v>
      </c>
      <c r="J15" s="4">
        <f t="shared" si="4"/>
        <v>0.24</v>
      </c>
      <c r="K15" s="4">
        <f t="shared" si="5"/>
        <v>0.6</v>
      </c>
      <c r="L15" s="4">
        <f t="shared" si="6"/>
        <v>0.32</v>
      </c>
      <c r="M15" s="4">
        <f t="shared" si="3"/>
        <v>0.4</v>
      </c>
      <c r="N15" s="1">
        <v>5905.1</v>
      </c>
      <c r="O15" s="1">
        <v>10530.7</v>
      </c>
      <c r="P15" s="5">
        <f t="shared" si="7"/>
        <v>0.12265417769877618</v>
      </c>
    </row>
    <row r="16" spans="1:16" x14ac:dyDescent="0.3">
      <c r="A16" s="1">
        <v>2013</v>
      </c>
      <c r="B16" s="1">
        <v>6304</v>
      </c>
      <c r="C16" s="1">
        <v>18.7</v>
      </c>
      <c r="D16" s="1">
        <v>2.99</v>
      </c>
      <c r="E16" s="2">
        <v>8.8200000000000001E-2</v>
      </c>
      <c r="F16" s="3">
        <v>68.134266396319248</v>
      </c>
      <c r="G16" s="4">
        <f t="shared" si="0"/>
        <v>5.3475935828877004E-2</v>
      </c>
      <c r="H16" s="3">
        <f t="shared" si="1"/>
        <v>0.60630312731153069</v>
      </c>
      <c r="I16" s="4">
        <f t="shared" si="2"/>
        <v>0.28000000000000003</v>
      </c>
      <c r="J16" s="4">
        <f t="shared" si="4"/>
        <v>0.16</v>
      </c>
      <c r="K16" s="4">
        <f t="shared" si="5"/>
        <v>0.44</v>
      </c>
      <c r="L16" s="4">
        <f t="shared" si="6"/>
        <v>0.24</v>
      </c>
      <c r="M16" s="4">
        <f t="shared" si="3"/>
        <v>0.38400000000000006</v>
      </c>
      <c r="N16" s="1">
        <v>6304</v>
      </c>
      <c r="O16" s="1">
        <v>10862.55</v>
      </c>
      <c r="P16" s="5">
        <f t="shared" si="7"/>
        <v>0.11496983217800549</v>
      </c>
    </row>
    <row r="17" spans="1:16" x14ac:dyDescent="0.3">
      <c r="A17" s="1">
        <v>2014</v>
      </c>
      <c r="B17" s="1">
        <v>8282.7000000000007</v>
      </c>
      <c r="C17" s="1">
        <v>21.16</v>
      </c>
      <c r="D17" s="1">
        <v>3.49</v>
      </c>
      <c r="E17" s="2">
        <v>7.8549999999999995E-2</v>
      </c>
      <c r="F17" s="3">
        <v>82.717207797920906</v>
      </c>
      <c r="G17" s="4">
        <f t="shared" si="0"/>
        <v>4.725897920604915E-2</v>
      </c>
      <c r="H17" s="3">
        <f t="shared" si="1"/>
        <v>0.60164200135008472</v>
      </c>
      <c r="I17" s="4">
        <f t="shared" si="2"/>
        <v>0.4</v>
      </c>
      <c r="J17" s="4">
        <f t="shared" si="4"/>
        <v>0.36</v>
      </c>
      <c r="K17" s="4">
        <f t="shared" si="5"/>
        <v>0.4</v>
      </c>
      <c r="L17" s="4">
        <f t="shared" si="6"/>
        <v>0.48</v>
      </c>
      <c r="M17" s="4">
        <f t="shared" si="3"/>
        <v>0.41600000000000004</v>
      </c>
      <c r="N17" s="1">
        <v>8282.7000000000007</v>
      </c>
      <c r="O17" s="1">
        <v>12168.45</v>
      </c>
      <c r="P17" s="5">
        <f t="shared" si="7"/>
        <v>7.9972423338781073E-2</v>
      </c>
    </row>
    <row r="18" spans="1:16" x14ac:dyDescent="0.3">
      <c r="A18" s="1">
        <v>2015</v>
      </c>
      <c r="B18" s="1">
        <v>7964.35</v>
      </c>
      <c r="C18" s="1">
        <v>21.49</v>
      </c>
      <c r="D18" s="1">
        <v>3.19</v>
      </c>
      <c r="E18" s="2">
        <v>7.7579999999999996E-2</v>
      </c>
      <c r="F18" s="3">
        <v>82.961537085803599</v>
      </c>
      <c r="G18" s="4">
        <f t="shared" si="0"/>
        <v>4.6533271288971619E-2</v>
      </c>
      <c r="H18" s="3">
        <f t="shared" si="1"/>
        <v>0.59981014809192601</v>
      </c>
      <c r="I18" s="4">
        <f t="shared" si="2"/>
        <v>0.48</v>
      </c>
      <c r="J18" s="4">
        <f t="shared" si="4"/>
        <v>0.28000000000000003</v>
      </c>
      <c r="K18" s="4">
        <f t="shared" si="5"/>
        <v>0.32</v>
      </c>
      <c r="L18" s="4">
        <f t="shared" si="6"/>
        <v>0.52</v>
      </c>
      <c r="M18" s="4">
        <f t="shared" si="3"/>
        <v>0.40800000000000003</v>
      </c>
      <c r="N18" s="1">
        <v>7964.35</v>
      </c>
      <c r="O18" s="1">
        <v>13981.75</v>
      </c>
      <c r="P18" s="5">
        <f t="shared" si="7"/>
        <v>0.11913438388818931</v>
      </c>
    </row>
    <row r="19" spans="1:16" x14ac:dyDescent="0.3">
      <c r="A19" s="1">
        <v>2016</v>
      </c>
      <c r="B19" s="1">
        <v>8185.8</v>
      </c>
      <c r="C19" s="1">
        <v>21.93</v>
      </c>
      <c r="D19" s="1">
        <v>3.1</v>
      </c>
      <c r="E19" s="2">
        <v>6.5119999999999997E-2</v>
      </c>
      <c r="F19" s="3">
        <v>76.098124858009612</v>
      </c>
      <c r="G19" s="4">
        <f t="shared" si="0"/>
        <v>4.5599635202918376E-2</v>
      </c>
      <c r="H19" s="3">
        <f t="shared" si="1"/>
        <v>0.70024009832491363</v>
      </c>
      <c r="I19" s="4">
        <f t="shared" si="2"/>
        <v>0.6</v>
      </c>
      <c r="J19" s="4">
        <f t="shared" si="4"/>
        <v>0.2</v>
      </c>
      <c r="K19" s="4">
        <f t="shared" si="5"/>
        <v>0.76</v>
      </c>
      <c r="L19" s="4">
        <f t="shared" si="6"/>
        <v>0.36</v>
      </c>
      <c r="M19" s="4">
        <f t="shared" si="3"/>
        <v>0.56000000000000005</v>
      </c>
      <c r="N19" s="1">
        <v>8185.8</v>
      </c>
      <c r="O19" s="1">
        <v>17354.05</v>
      </c>
      <c r="P19" s="5">
        <f t="shared" si="7"/>
        <v>0.16216540401474444</v>
      </c>
    </row>
    <row r="20" spans="1:16" x14ac:dyDescent="0.3">
      <c r="A20" s="1">
        <v>2017</v>
      </c>
      <c r="B20" s="1">
        <v>10530.7</v>
      </c>
      <c r="C20" s="1">
        <v>26.92</v>
      </c>
      <c r="D20" s="1">
        <v>3.55</v>
      </c>
      <c r="E20" s="2">
        <v>7.3260000000000006E-2</v>
      </c>
      <c r="F20" s="3">
        <v>96.398778386843105</v>
      </c>
      <c r="G20" s="4">
        <f t="shared" si="0"/>
        <v>3.7147102526002972E-2</v>
      </c>
      <c r="H20" s="3">
        <f t="shared" si="1"/>
        <v>0.5070584565383971</v>
      </c>
      <c r="I20" s="4">
        <f t="shared" si="2"/>
        <v>0.88</v>
      </c>
      <c r="J20" s="4">
        <f t="shared" si="4"/>
        <v>0.44</v>
      </c>
      <c r="K20" s="4">
        <f t="shared" si="5"/>
        <v>0.12</v>
      </c>
      <c r="L20" s="4">
        <f t="shared" si="6"/>
        <v>0.64</v>
      </c>
      <c r="M20" s="4">
        <f t="shared" si="3"/>
        <v>0.53600000000000003</v>
      </c>
      <c r="N20" s="1">
        <v>10530.7</v>
      </c>
      <c r="O20" s="1">
        <v>18105.3</v>
      </c>
      <c r="P20" s="5">
        <f t="shared" si="7"/>
        <v>0.11447337339738284</v>
      </c>
    </row>
    <row r="21" spans="1:16" x14ac:dyDescent="0.3">
      <c r="A21" s="1">
        <v>2018</v>
      </c>
      <c r="B21" s="1">
        <v>10862.55</v>
      </c>
      <c r="C21" s="1">
        <v>26.17</v>
      </c>
      <c r="D21" s="1">
        <v>3.38</v>
      </c>
      <c r="E21" s="2">
        <v>7.3700000000000002E-2</v>
      </c>
      <c r="F21" s="3">
        <v>153.16048247096734</v>
      </c>
      <c r="G21" s="4">
        <f t="shared" si="0"/>
        <v>3.821169277799006E-2</v>
      </c>
      <c r="H21" s="3">
        <f t="shared" si="1"/>
        <v>0.51847615709620165</v>
      </c>
      <c r="I21" s="4">
        <f t="shared" si="2"/>
        <v>0.84</v>
      </c>
      <c r="J21" s="4">
        <f t="shared" si="4"/>
        <v>0.32</v>
      </c>
      <c r="K21" s="4">
        <f t="shared" si="5"/>
        <v>0.2</v>
      </c>
      <c r="L21" s="4">
        <f t="shared" si="6"/>
        <v>0.96</v>
      </c>
      <c r="M21" s="4">
        <f t="shared" si="3"/>
        <v>0.44800000000000006</v>
      </c>
      <c r="N21" s="1">
        <v>10862.55</v>
      </c>
      <c r="O21" s="1">
        <v>21731.4</v>
      </c>
      <c r="P21" s="5">
        <f t="shared" si="7"/>
        <v>0.14876496882482804</v>
      </c>
    </row>
    <row r="22" spans="1:16" x14ac:dyDescent="0.3">
      <c r="A22" s="1">
        <v>2019</v>
      </c>
      <c r="B22" s="1">
        <v>12168.45</v>
      </c>
      <c r="C22" s="1">
        <v>28.3</v>
      </c>
      <c r="D22" s="1">
        <v>3.75</v>
      </c>
      <c r="E22" s="2">
        <v>6.5540000000000001E-2</v>
      </c>
      <c r="F22" s="3">
        <v>76.2695069175453</v>
      </c>
      <c r="G22" s="4">
        <f t="shared" si="0"/>
        <v>3.5335689045936397E-2</v>
      </c>
      <c r="H22" s="3">
        <f t="shared" si="1"/>
        <v>0.53914691861361608</v>
      </c>
      <c r="I22" s="4">
        <f t="shared" si="2"/>
        <v>0.96</v>
      </c>
      <c r="J22" s="4">
        <f t="shared" si="4"/>
        <v>0.6</v>
      </c>
      <c r="K22" s="4">
        <f t="shared" si="5"/>
        <v>0.24</v>
      </c>
      <c r="L22" s="4">
        <f t="shared" si="6"/>
        <v>0.44</v>
      </c>
      <c r="M22" s="4">
        <f t="shared" si="3"/>
        <v>0.66400000000000003</v>
      </c>
      <c r="N22" s="1">
        <v>12168.45</v>
      </c>
      <c r="O22" s="1">
        <v>23644.799999999999</v>
      </c>
      <c r="P22" s="5">
        <f t="shared" si="7"/>
        <v>0.14208933642617549</v>
      </c>
    </row>
    <row r="23" spans="1:16" x14ac:dyDescent="0.3">
      <c r="A23" s="1">
        <v>2020</v>
      </c>
      <c r="B23" s="1">
        <v>13981.75</v>
      </c>
      <c r="C23" s="1">
        <v>38.450000000000003</v>
      </c>
      <c r="D23" s="1">
        <v>3.96</v>
      </c>
      <c r="E23" s="2">
        <v>5.8939999999999999E-2</v>
      </c>
      <c r="F23" s="3">
        <v>95.424501696953669</v>
      </c>
      <c r="G23" s="4">
        <f t="shared" si="0"/>
        <v>2.600780234070221E-2</v>
      </c>
      <c r="H23" s="3">
        <f t="shared" si="1"/>
        <v>0.44125894707672564</v>
      </c>
      <c r="I23" s="4">
        <f t="shared" si="2"/>
        <v>1</v>
      </c>
      <c r="J23" s="4">
        <f t="shared" si="4"/>
        <v>0.72</v>
      </c>
      <c r="K23" s="4">
        <f t="shared" si="5"/>
        <v>0</v>
      </c>
      <c r="L23" s="4">
        <f t="shared" si="6"/>
        <v>0.6</v>
      </c>
      <c r="M23" s="4">
        <f t="shared" si="3"/>
        <v>0.62400000000000011</v>
      </c>
      <c r="N23" s="1">
        <v>13981.75</v>
      </c>
      <c r="O23" s="1">
        <v>26129.599999999999</v>
      </c>
      <c r="P23" s="5">
        <f t="shared" si="7"/>
        <v>0.13322003938475224</v>
      </c>
    </row>
    <row r="24" spans="1:16" x14ac:dyDescent="0.3">
      <c r="A24" s="1">
        <v>2021</v>
      </c>
      <c r="B24" s="1">
        <v>17354.05</v>
      </c>
      <c r="C24" s="1">
        <v>24.11</v>
      </c>
      <c r="D24" s="1">
        <v>4.37</v>
      </c>
      <c r="E24" s="2">
        <v>6.454E-2</v>
      </c>
      <c r="F24" s="3">
        <v>112.02132346832995</v>
      </c>
      <c r="G24" s="4">
        <f t="shared" si="0"/>
        <v>4.14765657403567E-2</v>
      </c>
      <c r="H24" s="3">
        <f t="shared" si="1"/>
        <v>0.64264898884965449</v>
      </c>
      <c r="I24" s="4">
        <f t="shared" si="2"/>
        <v>0.76</v>
      </c>
      <c r="J24" s="4">
        <f t="shared" si="4"/>
        <v>0.88</v>
      </c>
      <c r="K24" s="4">
        <f t="shared" si="5"/>
        <v>0.56000000000000005</v>
      </c>
      <c r="L24" s="4">
        <f t="shared" si="6"/>
        <v>0.8</v>
      </c>
      <c r="M24" s="4">
        <f t="shared" si="3"/>
        <v>0.63200000000000012</v>
      </c>
      <c r="N24" s="1">
        <v>17354.05</v>
      </c>
      <c r="O24" s="1"/>
      <c r="P24" s="5"/>
    </row>
    <row r="25" spans="1:16" x14ac:dyDescent="0.3">
      <c r="A25" s="1">
        <v>2022</v>
      </c>
      <c r="B25" s="1">
        <v>18105.3</v>
      </c>
      <c r="C25" s="1">
        <v>21.79</v>
      </c>
      <c r="D25" s="1">
        <v>4.25</v>
      </c>
      <c r="E25" s="2">
        <v>7.3270000000000002E-2</v>
      </c>
      <c r="F25" s="3">
        <v>101.23305616709773</v>
      </c>
      <c r="G25" s="4">
        <f t="shared" si="0"/>
        <v>4.5892611289582379E-2</v>
      </c>
      <c r="H25" s="3">
        <f t="shared" si="1"/>
        <v>0.62634927377620275</v>
      </c>
      <c r="I25" s="4">
        <f t="shared" si="2"/>
        <v>0.52</v>
      </c>
      <c r="J25" s="4">
        <f t="shared" si="4"/>
        <v>0.84</v>
      </c>
      <c r="K25" s="4">
        <f t="shared" si="5"/>
        <v>0.52</v>
      </c>
      <c r="L25" s="4">
        <f t="shared" si="6"/>
        <v>0.68</v>
      </c>
      <c r="M25" s="4">
        <f t="shared" si="3"/>
        <v>0.54399999999999993</v>
      </c>
      <c r="N25" s="1">
        <v>18105.3</v>
      </c>
      <c r="O25" s="1"/>
      <c r="P25" s="5"/>
    </row>
    <row r="26" spans="1:16" x14ac:dyDescent="0.3">
      <c r="A26" s="1">
        <v>2023</v>
      </c>
      <c r="B26" s="1">
        <v>21731.4</v>
      </c>
      <c r="C26" s="1">
        <v>23.17</v>
      </c>
      <c r="D26" s="1">
        <v>3.83</v>
      </c>
      <c r="E26" s="2">
        <v>7.1760000000000004E-2</v>
      </c>
      <c r="F26" s="3">
        <v>119.28387485703796</v>
      </c>
      <c r="G26" s="4">
        <f t="shared" si="0"/>
        <v>4.3159257660768231E-2</v>
      </c>
      <c r="H26" s="3">
        <f t="shared" si="1"/>
        <v>0.60143893061271225</v>
      </c>
      <c r="I26" s="4">
        <f t="shared" si="2"/>
        <v>0.68</v>
      </c>
      <c r="J26" s="4">
        <f t="shared" si="4"/>
        <v>0.64</v>
      </c>
      <c r="K26" s="4">
        <f t="shared" si="5"/>
        <v>0.36</v>
      </c>
      <c r="L26" s="4">
        <f t="shared" si="6"/>
        <v>0.84</v>
      </c>
      <c r="M26" s="4">
        <f t="shared" si="3"/>
        <v>0.504</v>
      </c>
      <c r="N26" s="1">
        <v>21731.4</v>
      </c>
      <c r="O26" s="1"/>
      <c r="P26" s="5"/>
    </row>
    <row r="27" spans="1:16" x14ac:dyDescent="0.3">
      <c r="A27" s="1">
        <v>2024</v>
      </c>
      <c r="B27" s="1">
        <v>23644.799999999999</v>
      </c>
      <c r="C27" s="1">
        <v>21.79</v>
      </c>
      <c r="D27" s="1">
        <v>3.53</v>
      </c>
      <c r="E27" s="2">
        <v>6.7589999999999997E-2</v>
      </c>
      <c r="F27" s="3">
        <v>131.24142666271348</v>
      </c>
      <c r="G27" s="4">
        <f t="shared" si="0"/>
        <v>4.5892611289582379E-2</v>
      </c>
      <c r="H27" s="3">
        <f t="shared" si="1"/>
        <v>0.67898522399145411</v>
      </c>
      <c r="I27" s="4">
        <f t="shared" si="2"/>
        <v>0.52</v>
      </c>
      <c r="J27" s="4">
        <f t="shared" si="4"/>
        <v>0.4</v>
      </c>
      <c r="K27" s="4">
        <f t="shared" si="5"/>
        <v>0.68</v>
      </c>
      <c r="L27" s="4">
        <f t="shared" si="6"/>
        <v>0.88</v>
      </c>
      <c r="M27" s="4">
        <f t="shared" si="3"/>
        <v>0.44800000000000006</v>
      </c>
      <c r="N27" s="1">
        <v>23644.799999999999</v>
      </c>
      <c r="O27" s="1"/>
      <c r="P27" s="5"/>
    </row>
    <row r="28" spans="1:16" x14ac:dyDescent="0.3">
      <c r="A28" s="1">
        <v>2025</v>
      </c>
      <c r="B28" s="1">
        <v>26129.599999999999</v>
      </c>
      <c r="C28" s="1">
        <v>22.75</v>
      </c>
      <c r="D28" s="1">
        <v>3.55</v>
      </c>
      <c r="E28" s="2">
        <v>6.5879999999999994E-2</v>
      </c>
      <c r="F28" s="1">
        <v>137.69999999999999</v>
      </c>
      <c r="G28" s="4">
        <f t="shared" si="0"/>
        <v>4.3956043956043959E-2</v>
      </c>
      <c r="H28" s="3">
        <f t="shared" si="1"/>
        <v>0.66721378196788039</v>
      </c>
      <c r="I28" s="4">
        <f t="shared" si="2"/>
        <v>0.64</v>
      </c>
      <c r="J28" s="4">
        <f t="shared" si="4"/>
        <v>0.44</v>
      </c>
      <c r="K28" s="4">
        <f t="shared" si="5"/>
        <v>0.64</v>
      </c>
      <c r="L28" s="4">
        <f t="shared" si="6"/>
        <v>0.92</v>
      </c>
      <c r="M28" s="4">
        <f t="shared" si="3"/>
        <v>0.48800000000000004</v>
      </c>
      <c r="N28" s="1">
        <v>26129.599999999999</v>
      </c>
      <c r="O28" s="1"/>
      <c r="P28" s="5"/>
    </row>
  </sheetData>
  <mergeCells count="13">
    <mergeCell ref="F1:F2"/>
    <mergeCell ref="A1:A2"/>
    <mergeCell ref="B1:B2"/>
    <mergeCell ref="C1:C2"/>
    <mergeCell ref="D1:D2"/>
    <mergeCell ref="E1:E2"/>
    <mergeCell ref="P1:P2"/>
    <mergeCell ref="G1:G2"/>
    <mergeCell ref="H1:H2"/>
    <mergeCell ref="I1:L1"/>
    <mergeCell ref="M1:M2"/>
    <mergeCell ref="N1:N2"/>
    <mergeCell ref="O1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9"/>
  <sheetViews>
    <sheetView tabSelected="1" workbookViewId="0">
      <selection activeCell="O209" sqref="O209"/>
    </sheetView>
  </sheetViews>
  <sheetFormatPr defaultRowHeight="14.4" x14ac:dyDescent="0.3"/>
  <cols>
    <col min="6" max="6" width="14.6640625" bestFit="1" customWidth="1"/>
    <col min="7" max="7" width="11.33203125" bestFit="1" customWidth="1"/>
    <col min="13" max="13" width="13.88671875" bestFit="1" customWidth="1"/>
    <col min="15" max="15" width="10.77734375" bestFit="1" customWidth="1"/>
    <col min="16" max="16" width="14.33203125" bestFit="1" customWidth="1"/>
  </cols>
  <sheetData>
    <row r="1" spans="1:1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9"/>
      <c r="K1" s="19"/>
      <c r="L1" s="19"/>
      <c r="M1" s="20" t="s">
        <v>9</v>
      </c>
      <c r="N1" s="18" t="s">
        <v>10</v>
      </c>
      <c r="O1" s="18" t="s">
        <v>11</v>
      </c>
      <c r="P1" s="17" t="s">
        <v>12</v>
      </c>
    </row>
    <row r="2" spans="1:16" x14ac:dyDescent="0.3">
      <c r="A2" s="18"/>
      <c r="B2" s="18"/>
      <c r="C2" s="18"/>
      <c r="D2" s="18"/>
      <c r="E2" s="18"/>
      <c r="F2" s="18"/>
      <c r="G2" s="18"/>
      <c r="H2" s="18"/>
      <c r="I2" s="1" t="s">
        <v>13</v>
      </c>
      <c r="J2" s="1" t="s">
        <v>14</v>
      </c>
      <c r="K2" s="1" t="s">
        <v>15</v>
      </c>
      <c r="L2" s="1" t="s">
        <v>16</v>
      </c>
      <c r="M2" s="20"/>
      <c r="N2" s="18"/>
      <c r="O2" s="18"/>
      <c r="P2" s="17"/>
    </row>
    <row r="3" spans="1:16" x14ac:dyDescent="0.3">
      <c r="A3" s="6">
        <v>37681</v>
      </c>
      <c r="B3" s="7">
        <v>978.2</v>
      </c>
      <c r="C3" s="7">
        <v>13.36</v>
      </c>
      <c r="D3" s="7">
        <v>2.15</v>
      </c>
      <c r="E3" s="7">
        <v>6.1269999999999998</v>
      </c>
      <c r="F3" s="9">
        <f>(E3/'Yearly GDP'!$B$2)*100</f>
        <v>1189.8473608575755</v>
      </c>
      <c r="G3" s="15">
        <f>1/C3</f>
        <v>7.4850299401197612E-2</v>
      </c>
      <c r="H3" s="14">
        <f>G3/E3*(100)</f>
        <v>1.2216467994319833</v>
      </c>
      <c r="I3" s="7">
        <f>_xlfn.PERCENTRANK.INC($C$3:$C$269,C3)</f>
        <v>4.1000000000000002E-2</v>
      </c>
      <c r="J3" s="7">
        <f>_xlfn.PERCENTRANK.INC($D$3:$D$269,D3)</f>
        <v>3.0000000000000001E-3</v>
      </c>
      <c r="K3" s="16">
        <f>_xlfn.PERCENTRANK.INC($H$3:$H$269,H3)</f>
        <v>0.96599999999999997</v>
      </c>
      <c r="L3" s="16">
        <f>_xlfn.PERCENTRANK.INC($F$3:$F$269,F3)</f>
        <v>1</v>
      </c>
      <c r="M3" s="16">
        <f>(I3*0.4)+(J3*0.2)+(K3*0.2)+((1-L3)*0.2)</f>
        <v>0.2102</v>
      </c>
      <c r="N3" s="7">
        <v>978.2</v>
      </c>
      <c r="O3" s="7">
        <v>4734.5</v>
      </c>
      <c r="P3" s="13">
        <f>(O3/N3)^(1/5)-1</f>
        <v>0.37078483909799576</v>
      </c>
    </row>
    <row r="4" spans="1:16" x14ac:dyDescent="0.3">
      <c r="A4" s="6">
        <v>37712</v>
      </c>
      <c r="B4" s="7">
        <v>934.05</v>
      </c>
      <c r="C4" s="7">
        <v>13.14</v>
      </c>
      <c r="D4" s="7">
        <v>2.11</v>
      </c>
      <c r="E4" s="7">
        <v>5.8819999999999997</v>
      </c>
      <c r="F4" s="9">
        <f>(E4/'Yearly GDP'!$B$2)*100</f>
        <v>1142.2690022138499</v>
      </c>
      <c r="G4" s="15">
        <f t="shared" ref="G4:G67" si="0">1/C4</f>
        <v>7.6103500761035003E-2</v>
      </c>
      <c r="H4" s="14">
        <f t="shared" ref="H4:H67" si="1">G4/E4*(100)</f>
        <v>1.293837143166185</v>
      </c>
      <c r="I4" s="7">
        <f t="shared" ref="I4:I67" si="2">_xlfn.PERCENTRANK.INC($C$3:$C$269,C4)</f>
        <v>3.3000000000000002E-2</v>
      </c>
      <c r="J4" s="7">
        <f t="shared" ref="J4:J67" si="3">_xlfn.PERCENTRANK.INC($D$3:$D$269,D4)</f>
        <v>0</v>
      </c>
      <c r="K4" s="16">
        <f t="shared" ref="K4:K67" si="4">_xlfn.PERCENTRANK.INC($H$3:$H$269,H4)</f>
        <v>0.97699999999999998</v>
      </c>
      <c r="L4" s="16">
        <f t="shared" ref="L4:L67" si="5">_xlfn.PERCENTRANK.INC($F$3:$F$269,F4)</f>
        <v>0.99199999999999999</v>
      </c>
      <c r="M4" s="16">
        <f t="shared" ref="M4:M67" si="6">(I4*0.4)+(J4*0.2)+(K4*0.2)+((1-L4)*0.2)</f>
        <v>0.2102</v>
      </c>
      <c r="N4" s="7">
        <v>934.05</v>
      </c>
      <c r="O4" s="7">
        <v>5165.8999999999996</v>
      </c>
      <c r="P4" s="13">
        <f t="shared" ref="P4:P67" si="7">(O4/N4)^(1/5)-1</f>
        <v>0.40784607387688498</v>
      </c>
    </row>
    <row r="5" spans="1:16" x14ac:dyDescent="0.3">
      <c r="A5" s="6">
        <v>37742</v>
      </c>
      <c r="B5" s="7">
        <v>1006.8</v>
      </c>
      <c r="C5" s="7">
        <v>11.65</v>
      </c>
      <c r="D5" s="7">
        <v>2.17</v>
      </c>
      <c r="E5" s="7">
        <v>5.7930000000000001</v>
      </c>
      <c r="F5" s="9">
        <f>(E5/'Yearly GDP'!$B$2)*100</f>
        <v>1124.9854351963334</v>
      </c>
      <c r="G5" s="15">
        <f t="shared" si="0"/>
        <v>8.5836909871244635E-2</v>
      </c>
      <c r="H5" s="14">
        <f t="shared" si="1"/>
        <v>1.4817350228076063</v>
      </c>
      <c r="I5" s="7">
        <f t="shared" si="2"/>
        <v>0</v>
      </c>
      <c r="J5" s="7">
        <f t="shared" si="3"/>
        <v>7.0000000000000001E-3</v>
      </c>
      <c r="K5" s="16">
        <f t="shared" si="4"/>
        <v>0.996</v>
      </c>
      <c r="L5" s="16">
        <f t="shared" si="5"/>
        <v>0.98399999999999999</v>
      </c>
      <c r="M5" s="16">
        <f t="shared" si="6"/>
        <v>0.20380000000000004</v>
      </c>
      <c r="N5" s="7">
        <v>1006.8</v>
      </c>
      <c r="O5" s="7">
        <v>4870.1000000000004</v>
      </c>
      <c r="P5" s="13">
        <f t="shared" si="7"/>
        <v>0.37062590064771017</v>
      </c>
    </row>
    <row r="6" spans="1:16" x14ac:dyDescent="0.3">
      <c r="A6" s="6">
        <v>37773</v>
      </c>
      <c r="B6" s="7">
        <v>1134.1500000000001</v>
      </c>
      <c r="C6" s="7">
        <v>12.95</v>
      </c>
      <c r="D6" s="7">
        <v>2.44</v>
      </c>
      <c r="E6" s="7">
        <v>5.73</v>
      </c>
      <c r="F6" s="9">
        <f>(E6/'Yearly GDP'!$B$2)*100</f>
        <v>1112.7510001165185</v>
      </c>
      <c r="G6" s="15">
        <f t="shared" si="0"/>
        <v>7.7220077220077218E-2</v>
      </c>
      <c r="H6" s="14">
        <f t="shared" si="1"/>
        <v>1.347645326702918</v>
      </c>
      <c r="I6" s="7">
        <f t="shared" si="2"/>
        <v>2.1999999999999999E-2</v>
      </c>
      <c r="J6" s="7">
        <f t="shared" si="3"/>
        <v>2.5999999999999999E-2</v>
      </c>
      <c r="K6" s="16">
        <f t="shared" si="4"/>
        <v>0.98099999999999998</v>
      </c>
      <c r="L6" s="16">
        <f t="shared" si="5"/>
        <v>0.98099999999999998</v>
      </c>
      <c r="M6" s="16">
        <f t="shared" si="6"/>
        <v>0.21400000000000002</v>
      </c>
      <c r="N6" s="7">
        <v>1134.1500000000001</v>
      </c>
      <c r="O6" s="7">
        <v>4040.55</v>
      </c>
      <c r="P6" s="13">
        <f t="shared" si="7"/>
        <v>0.28930004446985924</v>
      </c>
    </row>
    <row r="7" spans="1:16" x14ac:dyDescent="0.3">
      <c r="A7" s="6">
        <v>37803</v>
      </c>
      <c r="B7" s="7">
        <v>1185.8499999999999</v>
      </c>
      <c r="C7" s="7">
        <v>12.84</v>
      </c>
      <c r="D7" s="7">
        <v>2.5499999999999998</v>
      </c>
      <c r="E7" s="7">
        <v>5.6159999999999997</v>
      </c>
      <c r="F7" s="9">
        <f>(E7/'Yearly GDP'!$B$2)*100</f>
        <v>1090.6124985435195</v>
      </c>
      <c r="G7" s="15">
        <f t="shared" si="0"/>
        <v>7.7881619937694699E-2</v>
      </c>
      <c r="H7" s="14">
        <f t="shared" si="1"/>
        <v>1.3867809817965582</v>
      </c>
      <c r="I7" s="7">
        <f t="shared" si="2"/>
        <v>1.7999999999999999E-2</v>
      </c>
      <c r="J7" s="7">
        <f t="shared" si="3"/>
        <v>4.1000000000000002E-2</v>
      </c>
      <c r="K7" s="16">
        <f t="shared" si="4"/>
        <v>0.98799999999999999</v>
      </c>
      <c r="L7" s="16">
        <f t="shared" si="5"/>
        <v>0.97299999999999998</v>
      </c>
      <c r="M7" s="16">
        <f t="shared" si="6"/>
        <v>0.21840000000000001</v>
      </c>
      <c r="N7" s="7">
        <v>1185.8499999999999</v>
      </c>
      <c r="O7" s="7">
        <v>4332.95</v>
      </c>
      <c r="P7" s="13">
        <f t="shared" si="7"/>
        <v>0.29583821659379028</v>
      </c>
    </row>
    <row r="8" spans="1:16" x14ac:dyDescent="0.3">
      <c r="A8" s="6">
        <v>37834</v>
      </c>
      <c r="B8" s="7">
        <v>1356.55</v>
      </c>
      <c r="C8" s="7">
        <v>14.95</v>
      </c>
      <c r="D8" s="7">
        <v>2.92</v>
      </c>
      <c r="E8" s="7">
        <v>5.282</v>
      </c>
      <c r="F8" s="9">
        <f>(E8/'Yearly GDP'!$B$2)*100</f>
        <v>1025.7505728822775</v>
      </c>
      <c r="G8" s="15">
        <f t="shared" si="0"/>
        <v>6.6889632107023408E-2</v>
      </c>
      <c r="H8" s="14">
        <f t="shared" si="1"/>
        <v>1.2663694075543999</v>
      </c>
      <c r="I8" s="7">
        <f t="shared" si="2"/>
        <v>9.2999999999999999E-2</v>
      </c>
      <c r="J8" s="7">
        <f t="shared" si="3"/>
        <v>9.7000000000000003E-2</v>
      </c>
      <c r="K8" s="16">
        <f t="shared" si="4"/>
        <v>0.97299999999999998</v>
      </c>
      <c r="L8" s="16">
        <f t="shared" si="5"/>
        <v>0.96599999999999997</v>
      </c>
      <c r="M8" s="16">
        <f t="shared" si="6"/>
        <v>0.25800000000000001</v>
      </c>
      <c r="N8" s="7">
        <v>1356.55</v>
      </c>
      <c r="O8" s="7">
        <v>4360</v>
      </c>
      <c r="P8" s="13">
        <f t="shared" si="7"/>
        <v>0.26301973541747348</v>
      </c>
    </row>
    <row r="9" spans="1:16" x14ac:dyDescent="0.3">
      <c r="A9" s="6">
        <v>37865</v>
      </c>
      <c r="B9" s="7">
        <v>1417.1</v>
      </c>
      <c r="C9" s="7">
        <v>15.61</v>
      </c>
      <c r="D9" s="7">
        <v>3.05</v>
      </c>
      <c r="E9" s="7">
        <v>5.1740000000000004</v>
      </c>
      <c r="F9" s="9">
        <f>(E9/'Yearly GDP'!$B$2)*100</f>
        <v>1004.7772556025943</v>
      </c>
      <c r="G9" s="15">
        <f t="shared" si="0"/>
        <v>6.4061499039077513E-2</v>
      </c>
      <c r="H9" s="14">
        <f t="shared" si="1"/>
        <v>1.2381426176860748</v>
      </c>
      <c r="I9" s="7">
        <f t="shared" si="2"/>
        <v>0.105</v>
      </c>
      <c r="J9" s="7">
        <f t="shared" si="3"/>
        <v>0.17199999999999999</v>
      </c>
      <c r="K9" s="16">
        <f t="shared" si="4"/>
        <v>0.96899999999999997</v>
      </c>
      <c r="L9" s="16">
        <f t="shared" si="5"/>
        <v>0.95399999999999996</v>
      </c>
      <c r="M9" s="16">
        <f t="shared" si="6"/>
        <v>0.27939999999999998</v>
      </c>
      <c r="N9" s="7">
        <v>1417.1</v>
      </c>
      <c r="O9" s="7">
        <v>3921.2</v>
      </c>
      <c r="P9" s="13">
        <f t="shared" si="7"/>
        <v>0.22575507260789385</v>
      </c>
    </row>
    <row r="10" spans="1:16" x14ac:dyDescent="0.3">
      <c r="A10" s="6">
        <v>37895</v>
      </c>
      <c r="B10" s="7">
        <v>1555.9</v>
      </c>
      <c r="C10" s="7">
        <v>17.149999999999999</v>
      </c>
      <c r="D10" s="7">
        <v>3.35</v>
      </c>
      <c r="E10" s="7">
        <v>5.0999999999999996</v>
      </c>
      <c r="F10" s="9">
        <f>(E10/'Yearly GDP'!$B$2)*100</f>
        <v>990.40664931836704</v>
      </c>
      <c r="G10" s="15">
        <f t="shared" si="0"/>
        <v>5.830903790087464E-2</v>
      </c>
      <c r="H10" s="14">
        <f t="shared" si="1"/>
        <v>1.1433144686446008</v>
      </c>
      <c r="I10" s="7">
        <f t="shared" si="2"/>
        <v>0.15</v>
      </c>
      <c r="J10" s="7">
        <f t="shared" si="3"/>
        <v>0.29599999999999999</v>
      </c>
      <c r="K10" s="16">
        <f t="shared" si="4"/>
        <v>0.94299999999999995</v>
      </c>
      <c r="L10" s="16">
        <f t="shared" si="5"/>
        <v>0.91300000000000003</v>
      </c>
      <c r="M10" s="16">
        <f t="shared" si="6"/>
        <v>0.32519999999999993</v>
      </c>
      <c r="N10" s="7">
        <v>1555.9</v>
      </c>
      <c r="O10" s="7">
        <v>2885.6</v>
      </c>
      <c r="P10" s="13">
        <f t="shared" si="7"/>
        <v>0.13149044199082982</v>
      </c>
    </row>
    <row r="11" spans="1:16" x14ac:dyDescent="0.3">
      <c r="A11" s="6">
        <v>37926</v>
      </c>
      <c r="B11" s="7">
        <v>1615.25</v>
      </c>
      <c r="C11" s="7">
        <v>17.809999999999999</v>
      </c>
      <c r="D11" s="7">
        <v>3.47</v>
      </c>
      <c r="E11" s="7">
        <v>5.1470000000000002</v>
      </c>
      <c r="F11" s="9">
        <f>(E11/'Yearly GDP'!$B$2)*100</f>
        <v>999.53392628267363</v>
      </c>
      <c r="G11" s="15">
        <f t="shared" si="0"/>
        <v>5.6148231330713089E-2</v>
      </c>
      <c r="H11" s="14">
        <f t="shared" si="1"/>
        <v>1.0908923903383152</v>
      </c>
      <c r="I11" s="7">
        <f t="shared" si="2"/>
        <v>0.19900000000000001</v>
      </c>
      <c r="J11" s="7">
        <f t="shared" si="3"/>
        <v>0.39800000000000002</v>
      </c>
      <c r="K11" s="16">
        <f t="shared" si="4"/>
        <v>0.93600000000000005</v>
      </c>
      <c r="L11" s="16">
        <f t="shared" si="5"/>
        <v>0.92800000000000005</v>
      </c>
      <c r="M11" s="16">
        <f t="shared" si="6"/>
        <v>0.36080000000000001</v>
      </c>
      <c r="N11" s="7">
        <v>1615.25</v>
      </c>
      <c r="O11" s="7">
        <v>2755.1</v>
      </c>
      <c r="P11" s="13">
        <f t="shared" si="7"/>
        <v>0.11270367752921717</v>
      </c>
    </row>
    <row r="12" spans="1:16" x14ac:dyDescent="0.3">
      <c r="A12" s="6">
        <v>37956</v>
      </c>
      <c r="B12" s="7">
        <v>1879.75</v>
      </c>
      <c r="C12" s="7">
        <v>20.73</v>
      </c>
      <c r="D12" s="7">
        <v>4.05</v>
      </c>
      <c r="E12" s="7">
        <v>5.1219999999999999</v>
      </c>
      <c r="F12" s="9">
        <f>(E12/'Yearly GDP'!$B$2)*100</f>
        <v>994.67899172719149</v>
      </c>
      <c r="G12" s="15">
        <f t="shared" si="0"/>
        <v>4.8239266763145196E-2</v>
      </c>
      <c r="H12" s="14">
        <f t="shared" si="1"/>
        <v>0.94180528627772742</v>
      </c>
      <c r="I12" s="7">
        <f t="shared" si="2"/>
        <v>0.42799999999999999</v>
      </c>
      <c r="J12" s="7">
        <f t="shared" si="3"/>
        <v>0.76300000000000001</v>
      </c>
      <c r="K12" s="16">
        <f t="shared" si="4"/>
        <v>0.86799999999999999</v>
      </c>
      <c r="L12" s="16">
        <f t="shared" si="5"/>
        <v>0.92100000000000004</v>
      </c>
      <c r="M12" s="16">
        <f t="shared" si="6"/>
        <v>0.5132000000000001</v>
      </c>
      <c r="N12" s="7">
        <v>1879.75</v>
      </c>
      <c r="O12" s="7">
        <v>2959.15</v>
      </c>
      <c r="P12" s="13">
        <f t="shared" si="7"/>
        <v>9.4998129591919334E-2</v>
      </c>
    </row>
    <row r="13" spans="1:16" x14ac:dyDescent="0.3">
      <c r="A13" s="6">
        <v>37987</v>
      </c>
      <c r="B13" s="7">
        <v>1809.75</v>
      </c>
      <c r="C13" s="7">
        <v>19.96</v>
      </c>
      <c r="D13" s="7">
        <v>3.9</v>
      </c>
      <c r="E13" s="7">
        <v>5.2080000000000002</v>
      </c>
      <c r="F13" s="7">
        <f>(E13/'Yearly GDP'!$B$3)*100</f>
        <v>857.00181010366964</v>
      </c>
      <c r="G13" s="15">
        <f t="shared" si="0"/>
        <v>5.0100200400801598E-2</v>
      </c>
      <c r="H13" s="14">
        <f t="shared" si="1"/>
        <v>0.96198541476193544</v>
      </c>
      <c r="I13" s="7">
        <f t="shared" si="2"/>
        <v>0.34200000000000003</v>
      </c>
      <c r="J13" s="7">
        <f t="shared" si="3"/>
        <v>0.71399999999999997</v>
      </c>
      <c r="K13" s="16">
        <f t="shared" si="4"/>
        <v>0.875</v>
      </c>
      <c r="L13" s="16">
        <f t="shared" si="5"/>
        <v>0.82699999999999996</v>
      </c>
      <c r="M13" s="16">
        <f t="shared" si="6"/>
        <v>0.48920000000000002</v>
      </c>
      <c r="N13" s="7">
        <v>1809.75</v>
      </c>
      <c r="O13" s="7">
        <v>2874.8</v>
      </c>
      <c r="P13" s="13">
        <f t="shared" si="7"/>
        <v>9.6977728044744582E-2</v>
      </c>
    </row>
    <row r="14" spans="1:16" x14ac:dyDescent="0.3">
      <c r="A14" s="6">
        <v>38018</v>
      </c>
      <c r="B14" s="7">
        <v>1800.3</v>
      </c>
      <c r="C14" s="7">
        <v>19.739999999999998</v>
      </c>
      <c r="D14" s="7">
        <v>3.89</v>
      </c>
      <c r="E14" s="7">
        <v>5.2649999999999997</v>
      </c>
      <c r="F14" s="7">
        <f>(E14/'Yearly GDP'!$B$3)*100</f>
        <v>866.38143820964274</v>
      </c>
      <c r="G14" s="15">
        <f t="shared" si="0"/>
        <v>5.0658561296859174E-2</v>
      </c>
      <c r="H14" s="14">
        <f t="shared" si="1"/>
        <v>0.96217590307424838</v>
      </c>
      <c r="I14" s="7">
        <f t="shared" si="2"/>
        <v>0.32700000000000001</v>
      </c>
      <c r="J14" s="7">
        <f t="shared" si="3"/>
        <v>0.70599999999999996</v>
      </c>
      <c r="K14" s="16">
        <f t="shared" si="4"/>
        <v>0.879</v>
      </c>
      <c r="L14" s="16">
        <f t="shared" si="5"/>
        <v>0.83399999999999996</v>
      </c>
      <c r="M14" s="16">
        <f t="shared" si="6"/>
        <v>0.48100000000000004</v>
      </c>
      <c r="N14" s="7">
        <v>1800.3</v>
      </c>
      <c r="O14" s="7">
        <v>2763.65</v>
      </c>
      <c r="P14" s="13">
        <f t="shared" si="7"/>
        <v>8.950099691867508E-2</v>
      </c>
    </row>
    <row r="15" spans="1:16" x14ac:dyDescent="0.3">
      <c r="A15" s="6">
        <v>38047</v>
      </c>
      <c r="B15" s="7">
        <v>1771.9</v>
      </c>
      <c r="C15" s="7">
        <v>20.7</v>
      </c>
      <c r="D15" s="7">
        <v>3.5</v>
      </c>
      <c r="E15" s="7">
        <v>5.1470000000000002</v>
      </c>
      <c r="F15" s="7">
        <f>(E15/'Yearly GDP'!$B$3)*100</f>
        <v>846.96396248148767</v>
      </c>
      <c r="G15" s="15">
        <f t="shared" si="0"/>
        <v>4.8309178743961352E-2</v>
      </c>
      <c r="H15" s="14">
        <f t="shared" si="1"/>
        <v>0.93858905661475323</v>
      </c>
      <c r="I15" s="7">
        <f t="shared" si="2"/>
        <v>0.42399999999999999</v>
      </c>
      <c r="J15" s="7">
        <f t="shared" si="3"/>
        <v>0.436</v>
      </c>
      <c r="K15" s="16">
        <f t="shared" si="4"/>
        <v>0.86399999999999999</v>
      </c>
      <c r="L15" s="16">
        <f t="shared" si="5"/>
        <v>0.81499999999999995</v>
      </c>
      <c r="M15" s="16">
        <f t="shared" si="6"/>
        <v>0.46660000000000007</v>
      </c>
      <c r="N15" s="7">
        <v>1771.9</v>
      </c>
      <c r="O15" s="7">
        <v>3020.95</v>
      </c>
      <c r="P15" s="13">
        <f t="shared" si="7"/>
        <v>0.11260463754440408</v>
      </c>
    </row>
    <row r="16" spans="1:16" x14ac:dyDescent="0.3">
      <c r="A16" s="6">
        <v>38078</v>
      </c>
      <c r="B16" s="7">
        <v>1796.1</v>
      </c>
      <c r="C16" s="7">
        <v>18.68</v>
      </c>
      <c r="D16" s="7">
        <v>3.54</v>
      </c>
      <c r="E16" s="7">
        <v>5.117</v>
      </c>
      <c r="F16" s="7">
        <f>(E16/'Yearly GDP'!$B$3)*100</f>
        <v>842.02731610992259</v>
      </c>
      <c r="G16" s="15">
        <f t="shared" si="0"/>
        <v>5.353319057815846E-2</v>
      </c>
      <c r="H16" s="14">
        <f t="shared" si="1"/>
        <v>1.0461831264052857</v>
      </c>
      <c r="I16" s="7">
        <f t="shared" si="2"/>
        <v>0.27</v>
      </c>
      <c r="J16" s="7">
        <f t="shared" si="3"/>
        <v>0.48399999999999999</v>
      </c>
      <c r="K16" s="16">
        <f t="shared" si="4"/>
        <v>0.92800000000000005</v>
      </c>
      <c r="L16" s="16">
        <f t="shared" si="5"/>
        <v>0.80400000000000005</v>
      </c>
      <c r="M16" s="16">
        <f t="shared" si="6"/>
        <v>0.42960000000000004</v>
      </c>
      <c r="N16" s="7">
        <v>1796.1</v>
      </c>
      <c r="O16" s="7">
        <v>3473.95</v>
      </c>
      <c r="P16" s="13">
        <f t="shared" si="7"/>
        <v>0.1410340646224697</v>
      </c>
    </row>
    <row r="17" spans="1:16" x14ac:dyDescent="0.3">
      <c r="A17" s="6">
        <v>38108</v>
      </c>
      <c r="B17" s="7">
        <v>1483.6</v>
      </c>
      <c r="C17" s="7">
        <v>11.94</v>
      </c>
      <c r="D17" s="7">
        <v>2.84</v>
      </c>
      <c r="E17" s="7">
        <v>5.274</v>
      </c>
      <c r="F17" s="7">
        <f>(E17/'Yearly GDP'!$B$3)*100</f>
        <v>867.86243212111242</v>
      </c>
      <c r="G17" s="15">
        <f t="shared" si="0"/>
        <v>8.3752093802345065E-2</v>
      </c>
      <c r="H17" s="14">
        <f t="shared" si="1"/>
        <v>1.5880184642082871</v>
      </c>
      <c r="I17" s="7">
        <f t="shared" si="2"/>
        <v>3.0000000000000001E-3</v>
      </c>
      <c r="J17" s="7">
        <f t="shared" si="3"/>
        <v>7.0999999999999994E-2</v>
      </c>
      <c r="K17" s="16">
        <f t="shared" si="4"/>
        <v>1</v>
      </c>
      <c r="L17" s="16">
        <f t="shared" si="5"/>
        <v>0.83799999999999997</v>
      </c>
      <c r="M17" s="16">
        <f t="shared" si="6"/>
        <v>0.24780000000000002</v>
      </c>
      <c r="N17" s="7">
        <v>1483.6</v>
      </c>
      <c r="O17" s="7">
        <v>4448.95</v>
      </c>
      <c r="P17" s="13">
        <f t="shared" si="7"/>
        <v>0.2456273633819317</v>
      </c>
    </row>
    <row r="18" spans="1:16" x14ac:dyDescent="0.3">
      <c r="A18" s="6">
        <v>38139</v>
      </c>
      <c r="B18" s="7">
        <v>1505.6</v>
      </c>
      <c r="C18" s="7">
        <v>12.64</v>
      </c>
      <c r="D18" s="7">
        <v>2.83</v>
      </c>
      <c r="E18" s="7">
        <v>5.85</v>
      </c>
      <c r="F18" s="7">
        <f>(E18/'Yearly GDP'!$B$3)*100</f>
        <v>962.64604245515864</v>
      </c>
      <c r="G18" s="15">
        <f t="shared" si="0"/>
        <v>7.9113924050632903E-2</v>
      </c>
      <c r="H18" s="14">
        <f t="shared" si="1"/>
        <v>1.3523747700962889</v>
      </c>
      <c r="I18" s="7">
        <f t="shared" si="2"/>
        <v>1.4999999999999999E-2</v>
      </c>
      <c r="J18" s="7">
        <f t="shared" si="3"/>
        <v>6.7000000000000004E-2</v>
      </c>
      <c r="K18" s="16">
        <f t="shared" si="4"/>
        <v>0.98399999999999999</v>
      </c>
      <c r="L18" s="16">
        <f t="shared" si="5"/>
        <v>0.89800000000000002</v>
      </c>
      <c r="M18" s="16">
        <f t="shared" si="6"/>
        <v>0.2366</v>
      </c>
      <c r="N18" s="7">
        <v>1505.6</v>
      </c>
      <c r="O18" s="7">
        <v>4291.1000000000004</v>
      </c>
      <c r="P18" s="13">
        <f t="shared" si="7"/>
        <v>0.23302478344274524</v>
      </c>
    </row>
    <row r="19" spans="1:16" x14ac:dyDescent="0.3">
      <c r="A19" s="6">
        <v>38169</v>
      </c>
      <c r="B19" s="7">
        <v>1632.3</v>
      </c>
      <c r="C19" s="7">
        <v>13.63</v>
      </c>
      <c r="D19" s="7">
        <v>2.95</v>
      </c>
      <c r="E19" s="7">
        <v>6.1639999999999997</v>
      </c>
      <c r="F19" s="7">
        <f>(E19/'Yearly GDP'!$B$3)*100</f>
        <v>1014.3162744775382</v>
      </c>
      <c r="G19" s="15">
        <f t="shared" si="0"/>
        <v>7.3367571533382248E-2</v>
      </c>
      <c r="H19" s="14">
        <f t="shared" si="1"/>
        <v>1.1902591098861495</v>
      </c>
      <c r="I19" s="7">
        <f t="shared" si="2"/>
        <v>4.8000000000000001E-2</v>
      </c>
      <c r="J19" s="7">
        <f t="shared" si="3"/>
        <v>0.112</v>
      </c>
      <c r="K19" s="16">
        <f t="shared" si="4"/>
        <v>0.95099999999999996</v>
      </c>
      <c r="L19" s="16">
        <f t="shared" si="5"/>
        <v>0.95799999999999996</v>
      </c>
      <c r="M19" s="16">
        <f t="shared" si="6"/>
        <v>0.24020000000000002</v>
      </c>
      <c r="N19" s="7">
        <v>1632.3</v>
      </c>
      <c r="O19" s="7">
        <v>4636.45</v>
      </c>
      <c r="P19" s="13">
        <f t="shared" si="7"/>
        <v>0.23218841146829527</v>
      </c>
    </row>
    <row r="20" spans="1:16" x14ac:dyDescent="0.3">
      <c r="A20" s="6">
        <v>38200</v>
      </c>
      <c r="B20" s="7">
        <v>1631.75</v>
      </c>
      <c r="C20" s="7">
        <v>13.64</v>
      </c>
      <c r="D20" s="7">
        <v>2.95</v>
      </c>
      <c r="E20" s="7">
        <v>6.0890000000000004</v>
      </c>
      <c r="F20" s="7">
        <f>(E20/'Yearly GDP'!$B$3)*100</f>
        <v>1001.9746585486259</v>
      </c>
      <c r="G20" s="15">
        <f t="shared" si="0"/>
        <v>7.3313782991202336E-2</v>
      </c>
      <c r="H20" s="14">
        <f t="shared" si="1"/>
        <v>1.2040365083133902</v>
      </c>
      <c r="I20" s="7">
        <f t="shared" si="2"/>
        <v>5.1999999999999998E-2</v>
      </c>
      <c r="J20" s="7">
        <f t="shared" si="3"/>
        <v>0.112</v>
      </c>
      <c r="K20" s="16">
        <f t="shared" si="4"/>
        <v>0.95399999999999996</v>
      </c>
      <c r="L20" s="16">
        <f t="shared" si="5"/>
        <v>0.94299999999999995</v>
      </c>
      <c r="M20" s="16">
        <f t="shared" si="6"/>
        <v>0.24540000000000001</v>
      </c>
      <c r="N20" s="7">
        <v>1631.75</v>
      </c>
      <c r="O20" s="7">
        <v>4662.1000000000004</v>
      </c>
      <c r="P20" s="13">
        <f t="shared" si="7"/>
        <v>0.23363190445106996</v>
      </c>
    </row>
    <row r="21" spans="1:16" x14ac:dyDescent="0.3">
      <c r="A21" s="6">
        <v>38231</v>
      </c>
      <c r="B21" s="7">
        <v>1745.5</v>
      </c>
      <c r="C21" s="7">
        <v>14.59</v>
      </c>
      <c r="D21" s="7">
        <v>3.16</v>
      </c>
      <c r="E21" s="7">
        <v>6.2439999999999998</v>
      </c>
      <c r="F21" s="7">
        <f>(E21/'Yearly GDP'!$B$3)*100</f>
        <v>1027.4806648017113</v>
      </c>
      <c r="G21" s="15">
        <f t="shared" si="0"/>
        <v>6.8540095956134334E-2</v>
      </c>
      <c r="H21" s="14">
        <f t="shared" si="1"/>
        <v>1.097695322808045</v>
      </c>
      <c r="I21" s="7">
        <f t="shared" si="2"/>
        <v>7.4999999999999997E-2</v>
      </c>
      <c r="J21" s="7">
        <f t="shared" si="3"/>
        <v>0.214</v>
      </c>
      <c r="K21" s="16">
        <f t="shared" si="4"/>
        <v>0.93899999999999995</v>
      </c>
      <c r="L21" s="16">
        <f t="shared" si="5"/>
        <v>0.96899999999999997</v>
      </c>
      <c r="M21" s="16">
        <f t="shared" si="6"/>
        <v>0.26679999999999998</v>
      </c>
      <c r="N21" s="7">
        <v>1745.5</v>
      </c>
      <c r="O21" s="7">
        <v>5083.95</v>
      </c>
      <c r="P21" s="13">
        <f t="shared" si="7"/>
        <v>0.23838671245377729</v>
      </c>
    </row>
    <row r="22" spans="1:16" x14ac:dyDescent="0.3">
      <c r="A22" s="6">
        <v>38261</v>
      </c>
      <c r="B22" s="7">
        <v>1786.9</v>
      </c>
      <c r="C22" s="7">
        <v>14.93</v>
      </c>
      <c r="D22" s="7">
        <v>3.08</v>
      </c>
      <c r="E22" s="7">
        <v>6.8609999999999998</v>
      </c>
      <c r="F22" s="7">
        <f>(E22/'Yearly GDP'!$B$3)*100</f>
        <v>1129.0110251768965</v>
      </c>
      <c r="G22" s="15">
        <f t="shared" si="0"/>
        <v>6.6979236436704628E-2</v>
      </c>
      <c r="H22" s="14">
        <f t="shared" si="1"/>
        <v>0.97623140120543117</v>
      </c>
      <c r="I22" s="7">
        <f t="shared" si="2"/>
        <v>0.09</v>
      </c>
      <c r="J22" s="7">
        <f t="shared" si="3"/>
        <v>0.17599999999999999</v>
      </c>
      <c r="K22" s="16">
        <f t="shared" si="4"/>
        <v>0.89</v>
      </c>
      <c r="L22" s="16">
        <f t="shared" si="5"/>
        <v>0.98799999999999999</v>
      </c>
      <c r="M22" s="16">
        <f t="shared" si="6"/>
        <v>0.25160000000000005</v>
      </c>
      <c r="N22" s="7">
        <v>1786.9</v>
      </c>
      <c r="O22" s="7">
        <v>4711.7</v>
      </c>
      <c r="P22" s="13">
        <f t="shared" si="7"/>
        <v>0.21399102590257124</v>
      </c>
    </row>
    <row r="23" spans="1:16" x14ac:dyDescent="0.3">
      <c r="A23" s="6">
        <v>38292</v>
      </c>
      <c r="B23" s="7">
        <v>1958.8</v>
      </c>
      <c r="C23" s="7">
        <v>16.39</v>
      </c>
      <c r="D23" s="7">
        <v>3.38</v>
      </c>
      <c r="E23" s="7">
        <v>7.1970000000000001</v>
      </c>
      <c r="F23" s="7">
        <f>(E23/'Yearly GDP'!$B$3)*100</f>
        <v>1184.3014645384235</v>
      </c>
      <c r="G23" s="15">
        <f t="shared" si="0"/>
        <v>6.1012812690665039E-2</v>
      </c>
      <c r="H23" s="14">
        <f t="shared" si="1"/>
        <v>0.84775340684542211</v>
      </c>
      <c r="I23" s="7">
        <f t="shared" si="2"/>
        <v>0.12</v>
      </c>
      <c r="J23" s="7">
        <f t="shared" si="3"/>
        <v>0.33</v>
      </c>
      <c r="K23" s="16">
        <f t="shared" si="4"/>
        <v>0.85299999999999998</v>
      </c>
      <c r="L23" s="16">
        <f t="shared" si="5"/>
        <v>0.996</v>
      </c>
      <c r="M23" s="16">
        <f t="shared" si="6"/>
        <v>0.28540000000000004</v>
      </c>
      <c r="N23" s="7">
        <v>1958.8</v>
      </c>
      <c r="O23" s="7">
        <v>5032.7</v>
      </c>
      <c r="P23" s="13">
        <f t="shared" si="7"/>
        <v>0.20770868510414586</v>
      </c>
    </row>
    <row r="24" spans="1:16" x14ac:dyDescent="0.3">
      <c r="A24" s="6">
        <v>38322</v>
      </c>
      <c r="B24" s="7">
        <v>2080.5</v>
      </c>
      <c r="C24" s="7">
        <v>15.32</v>
      </c>
      <c r="D24" s="7">
        <v>3.61</v>
      </c>
      <c r="E24" s="7">
        <v>6.7060000000000004</v>
      </c>
      <c r="F24" s="7">
        <f>(E24/'Yearly GDP'!$B$3)*100</f>
        <v>1103.5050189238111</v>
      </c>
      <c r="G24" s="15">
        <f t="shared" si="0"/>
        <v>6.5274151436031325E-2</v>
      </c>
      <c r="H24" s="14">
        <f t="shared" si="1"/>
        <v>0.97336939212692097</v>
      </c>
      <c r="I24" s="7">
        <f t="shared" si="2"/>
        <v>0.10100000000000001</v>
      </c>
      <c r="J24" s="7">
        <f t="shared" si="3"/>
        <v>0.52600000000000002</v>
      </c>
      <c r="K24" s="16">
        <f t="shared" si="4"/>
        <v>0.88700000000000001</v>
      </c>
      <c r="L24" s="16">
        <f t="shared" si="5"/>
        <v>0.97699999999999998</v>
      </c>
      <c r="M24" s="16">
        <f t="shared" si="6"/>
        <v>0.3276</v>
      </c>
      <c r="N24" s="7">
        <v>2080.5</v>
      </c>
      <c r="O24" s="7">
        <v>5201.05</v>
      </c>
      <c r="P24" s="13">
        <f t="shared" si="7"/>
        <v>0.20111519664110888</v>
      </c>
    </row>
    <row r="25" spans="1:16" x14ac:dyDescent="0.3">
      <c r="A25" s="6">
        <v>38353</v>
      </c>
      <c r="B25" s="7">
        <v>2057.6</v>
      </c>
      <c r="C25" s="7">
        <v>14.68</v>
      </c>
      <c r="D25" s="7">
        <v>3.57</v>
      </c>
      <c r="E25" s="7">
        <v>6.7030000000000003</v>
      </c>
      <c r="F25" s="7">
        <f>(E25/'Yearly GDP'!$B$4)*100</f>
        <v>945.21610378622313</v>
      </c>
      <c r="G25" s="15">
        <f t="shared" si="0"/>
        <v>6.8119891008174394E-2</v>
      </c>
      <c r="H25" s="14">
        <f t="shared" si="1"/>
        <v>1.0162597494879066</v>
      </c>
      <c r="I25" s="7">
        <f t="shared" si="2"/>
        <v>8.2000000000000003E-2</v>
      </c>
      <c r="J25" s="7">
        <f t="shared" si="3"/>
        <v>0.51500000000000001</v>
      </c>
      <c r="K25" s="16">
        <f t="shared" si="4"/>
        <v>0.90600000000000003</v>
      </c>
      <c r="L25" s="16">
        <f t="shared" si="5"/>
        <v>0.89</v>
      </c>
      <c r="M25" s="16">
        <f t="shared" si="6"/>
        <v>0.33900000000000008</v>
      </c>
      <c r="N25" s="7">
        <v>2057.6</v>
      </c>
      <c r="O25" s="7">
        <v>4882.05</v>
      </c>
      <c r="P25" s="13">
        <f t="shared" si="7"/>
        <v>0.18863428894431533</v>
      </c>
    </row>
    <row r="26" spans="1:16" x14ac:dyDescent="0.3">
      <c r="A26" s="6">
        <v>38384</v>
      </c>
      <c r="B26" s="7">
        <v>2103.25</v>
      </c>
      <c r="C26" s="7">
        <v>15.02</v>
      </c>
      <c r="D26" s="7">
        <v>3.92</v>
      </c>
      <c r="E26" s="7">
        <v>6.5490000000000004</v>
      </c>
      <c r="F26" s="7">
        <f>(E26/'Yearly GDP'!$B$4)*100</f>
        <v>923.49996474652767</v>
      </c>
      <c r="G26" s="15">
        <f t="shared" si="0"/>
        <v>6.6577896138482029E-2</v>
      </c>
      <c r="H26" s="14">
        <f t="shared" si="1"/>
        <v>1.01661163747873</v>
      </c>
      <c r="I26" s="7">
        <f t="shared" si="2"/>
        <v>9.7000000000000003E-2</v>
      </c>
      <c r="J26" s="7">
        <f t="shared" si="3"/>
        <v>0.72099999999999997</v>
      </c>
      <c r="K26" s="16">
        <f t="shared" si="4"/>
        <v>0.90900000000000003</v>
      </c>
      <c r="L26" s="16">
        <f t="shared" si="5"/>
        <v>0.86799999999999999</v>
      </c>
      <c r="M26" s="16">
        <f t="shared" si="6"/>
        <v>0.39119999999999999</v>
      </c>
      <c r="N26" s="7">
        <v>2103.25</v>
      </c>
      <c r="O26" s="7">
        <v>4922.3</v>
      </c>
      <c r="P26" s="13">
        <f t="shared" si="7"/>
        <v>0.18537410679345467</v>
      </c>
    </row>
    <row r="27" spans="1:16" x14ac:dyDescent="0.3">
      <c r="A27" s="6">
        <v>38412</v>
      </c>
      <c r="B27" s="7">
        <v>2035.65</v>
      </c>
      <c r="C27" s="7">
        <v>14.6</v>
      </c>
      <c r="D27" s="7">
        <v>3.82</v>
      </c>
      <c r="E27" s="7">
        <v>6.6760000000000002</v>
      </c>
      <c r="F27" s="7">
        <f>(E27/'Yearly GDP'!$B$4)*100</f>
        <v>941.40872875978289</v>
      </c>
      <c r="G27" s="15">
        <f t="shared" si="0"/>
        <v>6.8493150684931503E-2</v>
      </c>
      <c r="H27" s="14">
        <f t="shared" si="1"/>
        <v>1.0259609149929823</v>
      </c>
      <c r="I27" s="7">
        <f t="shared" si="2"/>
        <v>7.8E-2</v>
      </c>
      <c r="J27" s="7">
        <f t="shared" si="3"/>
        <v>0.67600000000000005</v>
      </c>
      <c r="K27" s="16">
        <f t="shared" si="4"/>
        <v>0.91700000000000004</v>
      </c>
      <c r="L27" s="16">
        <f t="shared" si="5"/>
        <v>0.88700000000000001</v>
      </c>
      <c r="M27" s="16">
        <f t="shared" si="6"/>
        <v>0.37240000000000001</v>
      </c>
      <c r="N27" s="7">
        <v>2035.65</v>
      </c>
      <c r="O27" s="7">
        <v>5249.1</v>
      </c>
      <c r="P27" s="13">
        <f t="shared" si="7"/>
        <v>0.20858262780431702</v>
      </c>
    </row>
    <row r="28" spans="1:16" x14ac:dyDescent="0.3">
      <c r="A28" s="6">
        <v>38443</v>
      </c>
      <c r="B28" s="7">
        <v>1902.5</v>
      </c>
      <c r="C28" s="7">
        <v>13.27</v>
      </c>
      <c r="D28" s="7">
        <v>3.56</v>
      </c>
      <c r="E28" s="7">
        <v>7.2389999999999999</v>
      </c>
      <c r="F28" s="7">
        <f>(E28/'Yearly GDP'!$B$4)*100</f>
        <v>1020.7995487555526</v>
      </c>
      <c r="G28" s="15">
        <f t="shared" si="0"/>
        <v>7.5357950263752832E-2</v>
      </c>
      <c r="H28" s="14">
        <f t="shared" si="1"/>
        <v>1.0409994510809895</v>
      </c>
      <c r="I28" s="7">
        <f t="shared" si="2"/>
        <v>3.6999999999999998E-2</v>
      </c>
      <c r="J28" s="7">
        <f t="shared" si="3"/>
        <v>0.503</v>
      </c>
      <c r="K28" s="16">
        <f t="shared" si="4"/>
        <v>0.92400000000000004</v>
      </c>
      <c r="L28" s="16">
        <f t="shared" si="5"/>
        <v>0.96199999999999997</v>
      </c>
      <c r="M28" s="16">
        <f t="shared" si="6"/>
        <v>0.30780000000000002</v>
      </c>
      <c r="N28" s="7">
        <v>1902.5</v>
      </c>
      <c r="O28" s="7">
        <v>5278</v>
      </c>
      <c r="P28" s="13">
        <f t="shared" si="7"/>
        <v>0.22639096991516339</v>
      </c>
    </row>
    <row r="29" spans="1:16" x14ac:dyDescent="0.3">
      <c r="A29" s="6">
        <v>38473</v>
      </c>
      <c r="B29" s="7">
        <v>2087.5500000000002</v>
      </c>
      <c r="C29" s="7">
        <v>13.94</v>
      </c>
      <c r="D29" s="7">
        <v>3.91</v>
      </c>
      <c r="E29" s="7">
        <v>6.9790000000000001</v>
      </c>
      <c r="F29" s="7">
        <f>(E29/'Yearly GDP'!$B$4)*100</f>
        <v>984.13593738983297</v>
      </c>
      <c r="G29" s="15">
        <f t="shared" si="0"/>
        <v>7.1736011477761832E-2</v>
      </c>
      <c r="H29" s="14">
        <f t="shared" si="1"/>
        <v>1.0278838154142691</v>
      </c>
      <c r="I29" s="7">
        <f t="shared" si="2"/>
        <v>5.6000000000000001E-2</v>
      </c>
      <c r="J29" s="7">
        <f t="shared" si="3"/>
        <v>0.71799999999999997</v>
      </c>
      <c r="K29" s="16">
        <f t="shared" si="4"/>
        <v>0.92100000000000004</v>
      </c>
      <c r="L29" s="16">
        <f t="shared" si="5"/>
        <v>0.90900000000000003</v>
      </c>
      <c r="M29" s="16">
        <f t="shared" si="6"/>
        <v>0.36840000000000006</v>
      </c>
      <c r="N29" s="7">
        <v>2087.5500000000002</v>
      </c>
      <c r="O29" s="7">
        <v>5086.3</v>
      </c>
      <c r="P29" s="13">
        <f t="shared" si="7"/>
        <v>0.19495903472586829</v>
      </c>
    </row>
    <row r="30" spans="1:16" x14ac:dyDescent="0.3">
      <c r="A30" s="6">
        <v>38504</v>
      </c>
      <c r="B30" s="7">
        <v>2220.6</v>
      </c>
      <c r="C30" s="7">
        <v>14.31</v>
      </c>
      <c r="D30" s="7">
        <v>3.98</v>
      </c>
      <c r="E30" s="7">
        <v>6.907</v>
      </c>
      <c r="F30" s="7">
        <f>(E30/'Yearly GDP'!$B$4)*100</f>
        <v>973.98293731932597</v>
      </c>
      <c r="G30" s="15">
        <f t="shared" si="0"/>
        <v>6.9881201956673647E-2</v>
      </c>
      <c r="H30" s="14">
        <f t="shared" si="1"/>
        <v>1.0117446352493651</v>
      </c>
      <c r="I30" s="7">
        <f t="shared" si="2"/>
        <v>7.0999999999999994E-2</v>
      </c>
      <c r="J30" s="7">
        <f t="shared" si="3"/>
        <v>0.74</v>
      </c>
      <c r="K30" s="16">
        <f t="shared" si="4"/>
        <v>0.90200000000000002</v>
      </c>
      <c r="L30" s="16">
        <f t="shared" si="5"/>
        <v>0.90200000000000002</v>
      </c>
      <c r="M30" s="16">
        <f t="shared" si="6"/>
        <v>0.37640000000000001</v>
      </c>
      <c r="N30" s="7">
        <v>2220.6</v>
      </c>
      <c r="O30" s="7">
        <v>5312.5</v>
      </c>
      <c r="P30" s="13">
        <f t="shared" si="7"/>
        <v>0.19059957041415365</v>
      </c>
    </row>
    <row r="31" spans="1:16" x14ac:dyDescent="0.3">
      <c r="A31" s="6">
        <v>38534</v>
      </c>
      <c r="B31" s="7">
        <v>2312.3000000000002</v>
      </c>
      <c r="C31" s="7">
        <v>14.1</v>
      </c>
      <c r="D31" s="7">
        <v>3.86</v>
      </c>
      <c r="E31" s="7">
        <v>6.96</v>
      </c>
      <c r="F31" s="7">
        <f>(E31/'Yearly GDP'!$B$4)*100</f>
        <v>981.45667348233803</v>
      </c>
      <c r="G31" s="15">
        <f t="shared" si="0"/>
        <v>7.0921985815602842E-2</v>
      </c>
      <c r="H31" s="14">
        <f t="shared" si="1"/>
        <v>1.0189940490747533</v>
      </c>
      <c r="I31" s="7">
        <f t="shared" si="2"/>
        <v>0.06</v>
      </c>
      <c r="J31" s="7">
        <f t="shared" si="3"/>
        <v>0.69099999999999995</v>
      </c>
      <c r="K31" s="16">
        <f t="shared" si="4"/>
        <v>0.91300000000000003</v>
      </c>
      <c r="L31" s="16">
        <f t="shared" si="5"/>
        <v>0.90600000000000003</v>
      </c>
      <c r="M31" s="16">
        <f t="shared" si="6"/>
        <v>0.36359999999999998</v>
      </c>
      <c r="N31" s="7">
        <v>2312.3000000000002</v>
      </c>
      <c r="O31" s="7">
        <v>5367.6</v>
      </c>
      <c r="P31" s="13">
        <f t="shared" si="7"/>
        <v>0.18344258535949653</v>
      </c>
    </row>
    <row r="32" spans="1:16" x14ac:dyDescent="0.3">
      <c r="A32" s="6">
        <v>38565</v>
      </c>
      <c r="B32" s="7">
        <v>2384.65</v>
      </c>
      <c r="C32" s="7">
        <v>14.78</v>
      </c>
      <c r="D32" s="7">
        <v>3.89</v>
      </c>
      <c r="E32" s="7">
        <v>7.0940000000000003</v>
      </c>
      <c r="F32" s="7">
        <f>(E32/'Yearly GDP'!$B$4)*100</f>
        <v>1000.3525347246706</v>
      </c>
      <c r="G32" s="15">
        <f t="shared" si="0"/>
        <v>6.7658998646820026E-2</v>
      </c>
      <c r="H32" s="14">
        <f t="shared" si="1"/>
        <v>0.95374962851451972</v>
      </c>
      <c r="I32" s="7">
        <f t="shared" si="2"/>
        <v>8.5999999999999993E-2</v>
      </c>
      <c r="J32" s="7">
        <f t="shared" si="3"/>
        <v>0.70599999999999996</v>
      </c>
      <c r="K32" s="16">
        <f t="shared" si="4"/>
        <v>0.872</v>
      </c>
      <c r="L32" s="16">
        <f t="shared" si="5"/>
        <v>0.93200000000000005</v>
      </c>
      <c r="M32" s="16">
        <f t="shared" si="6"/>
        <v>0.36359999999999998</v>
      </c>
      <c r="N32" s="7">
        <v>2384.65</v>
      </c>
      <c r="O32" s="7">
        <v>5402.4</v>
      </c>
      <c r="P32" s="13">
        <f t="shared" si="7"/>
        <v>0.17769387995756003</v>
      </c>
    </row>
    <row r="33" spans="1:16" x14ac:dyDescent="0.3">
      <c r="A33" s="6">
        <v>38596</v>
      </c>
      <c r="B33" s="7">
        <v>2601.4</v>
      </c>
      <c r="C33" s="7">
        <v>16.149999999999999</v>
      </c>
      <c r="D33" s="7">
        <v>4.01</v>
      </c>
      <c r="E33" s="7">
        <v>7.101</v>
      </c>
      <c r="F33" s="7">
        <f>(E33/'Yearly GDP'!$B$4)*100</f>
        <v>1001.3396319537476</v>
      </c>
      <c r="G33" s="15">
        <f t="shared" si="0"/>
        <v>6.1919504643962855E-2</v>
      </c>
      <c r="H33" s="14">
        <f t="shared" si="1"/>
        <v>0.87198288471993879</v>
      </c>
      <c r="I33" s="7">
        <f t="shared" si="2"/>
        <v>0.11600000000000001</v>
      </c>
      <c r="J33" s="7">
        <f t="shared" si="3"/>
        <v>0.751</v>
      </c>
      <c r="K33" s="16">
        <f t="shared" si="4"/>
        <v>0.85699999999999998</v>
      </c>
      <c r="L33" s="16">
        <f t="shared" si="5"/>
        <v>0.93899999999999995</v>
      </c>
      <c r="M33" s="16">
        <f t="shared" si="6"/>
        <v>0.38019999999999998</v>
      </c>
      <c r="N33" s="7">
        <v>2601.4</v>
      </c>
      <c r="O33" s="7">
        <v>6029.95</v>
      </c>
      <c r="P33" s="13">
        <f t="shared" si="7"/>
        <v>0.18309962041327466</v>
      </c>
    </row>
    <row r="34" spans="1:16" x14ac:dyDescent="0.3">
      <c r="A34" s="6">
        <v>38626</v>
      </c>
      <c r="B34" s="7">
        <v>2370.9499999999998</v>
      </c>
      <c r="C34" s="7">
        <v>14.23</v>
      </c>
      <c r="D34" s="7">
        <v>3.63</v>
      </c>
      <c r="E34" s="7">
        <v>7.0990000000000002</v>
      </c>
      <c r="F34" s="7">
        <f>(E34/'Yearly GDP'!$B$4)*100</f>
        <v>1001.0576041740112</v>
      </c>
      <c r="G34" s="15">
        <f t="shared" si="0"/>
        <v>7.0274068868587489E-2</v>
      </c>
      <c r="H34" s="14">
        <f t="shared" si="1"/>
        <v>0.98991504252130569</v>
      </c>
      <c r="I34" s="7">
        <f t="shared" si="2"/>
        <v>6.3E-2</v>
      </c>
      <c r="J34" s="7">
        <f t="shared" si="3"/>
        <v>0.54500000000000004</v>
      </c>
      <c r="K34" s="16">
        <f t="shared" si="4"/>
        <v>0.89400000000000002</v>
      </c>
      <c r="L34" s="16">
        <f t="shared" si="5"/>
        <v>0.93600000000000005</v>
      </c>
      <c r="M34" s="16">
        <f t="shared" si="6"/>
        <v>0.32580000000000003</v>
      </c>
      <c r="N34" s="7">
        <v>2370.9499999999998</v>
      </c>
      <c r="O34" s="7">
        <v>6017.7</v>
      </c>
      <c r="P34" s="13">
        <f t="shared" si="7"/>
        <v>0.20476301742121961</v>
      </c>
    </row>
    <row r="35" spans="1:16" x14ac:dyDescent="0.3">
      <c r="A35" s="6">
        <v>38657</v>
      </c>
      <c r="B35" s="7">
        <v>2652.25</v>
      </c>
      <c r="C35" s="7">
        <v>15.95</v>
      </c>
      <c r="D35" s="7">
        <v>4.0599999999999996</v>
      </c>
      <c r="E35" s="7">
        <v>7.0830000000000002</v>
      </c>
      <c r="F35" s="7">
        <f>(E35/'Yearly GDP'!$B$4)*100</f>
        <v>998.80138193612083</v>
      </c>
      <c r="G35" s="15">
        <f t="shared" si="0"/>
        <v>6.269592476489029E-2</v>
      </c>
      <c r="H35" s="14">
        <f t="shared" si="1"/>
        <v>0.88516059247339107</v>
      </c>
      <c r="I35" s="7">
        <f t="shared" si="2"/>
        <v>0.112</v>
      </c>
      <c r="J35" s="7">
        <f t="shared" si="3"/>
        <v>0.77400000000000002</v>
      </c>
      <c r="K35" s="16">
        <f t="shared" si="4"/>
        <v>0.86</v>
      </c>
      <c r="L35" s="16">
        <f t="shared" si="5"/>
        <v>0.92400000000000004</v>
      </c>
      <c r="M35" s="16">
        <f t="shared" si="6"/>
        <v>0.38680000000000003</v>
      </c>
      <c r="N35" s="7">
        <v>2652.25</v>
      </c>
      <c r="O35" s="7">
        <v>5862.7</v>
      </c>
      <c r="P35" s="13">
        <f t="shared" si="7"/>
        <v>0.17191642911245264</v>
      </c>
    </row>
    <row r="36" spans="1:16" x14ac:dyDescent="0.3">
      <c r="A36" s="6">
        <v>38687</v>
      </c>
      <c r="B36" s="7">
        <v>2836.55</v>
      </c>
      <c r="C36" s="7">
        <v>17.16</v>
      </c>
      <c r="D36" s="7">
        <v>4.37</v>
      </c>
      <c r="E36" s="7">
        <v>7.11</v>
      </c>
      <c r="F36" s="7">
        <f>(E36/'Yearly GDP'!$B$4)*100</f>
        <v>1002.608756962561</v>
      </c>
      <c r="G36" s="15">
        <f t="shared" si="0"/>
        <v>5.8275058275058272E-2</v>
      </c>
      <c r="H36" s="14">
        <f t="shared" si="1"/>
        <v>0.81962107278562968</v>
      </c>
      <c r="I36" s="7">
        <f t="shared" si="2"/>
        <v>0.154</v>
      </c>
      <c r="J36" s="7">
        <f t="shared" si="3"/>
        <v>0.85299999999999998</v>
      </c>
      <c r="K36" s="16">
        <f t="shared" si="4"/>
        <v>0.84499999999999997</v>
      </c>
      <c r="L36" s="16">
        <f t="shared" si="5"/>
        <v>0.94699999999999995</v>
      </c>
      <c r="M36" s="16">
        <f t="shared" si="6"/>
        <v>0.4118</v>
      </c>
      <c r="N36" s="7">
        <v>2836.55</v>
      </c>
      <c r="O36" s="7">
        <v>6134.5</v>
      </c>
      <c r="P36" s="13">
        <f t="shared" si="7"/>
        <v>0.1668035599601092</v>
      </c>
    </row>
    <row r="37" spans="1:16" x14ac:dyDescent="0.3">
      <c r="A37" s="6">
        <v>38718</v>
      </c>
      <c r="B37" s="7">
        <v>3001.1</v>
      </c>
      <c r="C37" s="7">
        <v>17.899999999999999</v>
      </c>
      <c r="D37" s="7">
        <v>4.53</v>
      </c>
      <c r="E37" s="7">
        <v>7.3719999999999999</v>
      </c>
      <c r="F37" s="7">
        <f>(E37/'Yearly GDP'!$B$5)*100</f>
        <v>898.6079621638753</v>
      </c>
      <c r="G37" s="15">
        <f t="shared" si="0"/>
        <v>5.5865921787709501E-2</v>
      </c>
      <c r="H37" s="14">
        <f t="shared" si="1"/>
        <v>0.75781228686529434</v>
      </c>
      <c r="I37" s="7">
        <f t="shared" si="2"/>
        <v>0.21</v>
      </c>
      <c r="J37" s="7">
        <f t="shared" si="3"/>
        <v>0.89400000000000002</v>
      </c>
      <c r="K37" s="16">
        <f t="shared" si="4"/>
        <v>0.84199999999999997</v>
      </c>
      <c r="L37" s="16">
        <f t="shared" si="5"/>
        <v>0.84899999999999998</v>
      </c>
      <c r="M37" s="16">
        <f t="shared" si="6"/>
        <v>0.46140000000000003</v>
      </c>
      <c r="N37" s="7">
        <v>3001.1</v>
      </c>
      <c r="O37" s="7">
        <v>5505.9</v>
      </c>
      <c r="P37" s="13">
        <f t="shared" si="7"/>
        <v>0.12904062905685687</v>
      </c>
    </row>
    <row r="38" spans="1:16" x14ac:dyDescent="0.3">
      <c r="A38" s="6">
        <v>38749</v>
      </c>
      <c r="B38" s="7">
        <v>3074.7</v>
      </c>
      <c r="C38" s="7">
        <v>18.27</v>
      </c>
      <c r="D38" s="7">
        <v>4.6399999999999997</v>
      </c>
      <c r="E38" s="7">
        <v>7.3929999999999998</v>
      </c>
      <c r="F38" s="7">
        <f>(E38/'Yearly GDP'!$B$5)*100</f>
        <v>901.16775152977891</v>
      </c>
      <c r="G38" s="15">
        <f t="shared" si="0"/>
        <v>5.4734537493158181E-2</v>
      </c>
      <c r="H38" s="14">
        <f t="shared" si="1"/>
        <v>0.74035624906206121</v>
      </c>
      <c r="I38" s="7">
        <f t="shared" si="2"/>
        <v>0.23599999999999999</v>
      </c>
      <c r="J38" s="7">
        <f t="shared" si="3"/>
        <v>0.90600000000000003</v>
      </c>
      <c r="K38" s="16">
        <f t="shared" si="4"/>
        <v>0.81499999999999995</v>
      </c>
      <c r="L38" s="16">
        <f t="shared" si="5"/>
        <v>0.85699999999999998</v>
      </c>
      <c r="M38" s="16">
        <f t="shared" si="6"/>
        <v>0.4672</v>
      </c>
      <c r="N38" s="7">
        <v>3074.7</v>
      </c>
      <c r="O38" s="7">
        <v>5333.25</v>
      </c>
      <c r="P38" s="13">
        <f t="shared" si="7"/>
        <v>0.11644630019502844</v>
      </c>
    </row>
    <row r="39" spans="1:16" x14ac:dyDescent="0.3">
      <c r="A39" s="6">
        <v>38777</v>
      </c>
      <c r="B39" s="7">
        <v>3402.55</v>
      </c>
      <c r="C39" s="7">
        <v>20.260000000000002</v>
      </c>
      <c r="D39" s="7">
        <v>5.15</v>
      </c>
      <c r="E39" s="7">
        <v>7.55</v>
      </c>
      <c r="F39" s="7">
        <f>(E39/'Yearly GDP'!$B$5)*100</f>
        <v>920.30522440820107</v>
      </c>
      <c r="G39" s="15">
        <f t="shared" si="0"/>
        <v>4.9358341559723587E-2</v>
      </c>
      <c r="H39" s="14">
        <f t="shared" si="1"/>
        <v>0.65375286834070978</v>
      </c>
      <c r="I39" s="7">
        <f t="shared" si="2"/>
        <v>0.35699999999999998</v>
      </c>
      <c r="J39" s="7">
        <f t="shared" si="3"/>
        <v>0.95099999999999996</v>
      </c>
      <c r="K39" s="16">
        <f t="shared" si="4"/>
        <v>0.60499999999999998</v>
      </c>
      <c r="L39" s="16">
        <f t="shared" si="5"/>
        <v>0.86399999999999999</v>
      </c>
      <c r="M39" s="16">
        <f t="shared" si="6"/>
        <v>0.48120000000000002</v>
      </c>
      <c r="N39" s="7">
        <v>3402.55</v>
      </c>
      <c r="O39" s="7">
        <v>5833.75</v>
      </c>
      <c r="P39" s="13">
        <f t="shared" si="7"/>
        <v>0.11385500233953971</v>
      </c>
    </row>
    <row r="40" spans="1:16" x14ac:dyDescent="0.3">
      <c r="A40" s="6">
        <v>38808</v>
      </c>
      <c r="B40" s="7">
        <v>3557.6</v>
      </c>
      <c r="C40" s="7">
        <v>20.309999999999999</v>
      </c>
      <c r="D40" s="7">
        <v>5.39</v>
      </c>
      <c r="E40" s="7">
        <v>7.39</v>
      </c>
      <c r="F40" s="7">
        <f>(E40/'Yearly GDP'!$B$5)*100</f>
        <v>900.80206733464968</v>
      </c>
      <c r="G40" s="15">
        <f t="shared" si="0"/>
        <v>4.9236829148202856E-2</v>
      </c>
      <c r="H40" s="14">
        <f t="shared" si="1"/>
        <v>0.66626291134239324</v>
      </c>
      <c r="I40" s="7">
        <f t="shared" si="2"/>
        <v>0.36</v>
      </c>
      <c r="J40" s="7">
        <f t="shared" si="3"/>
        <v>0.97299999999999998</v>
      </c>
      <c r="K40" s="16">
        <f t="shared" si="4"/>
        <v>0.67200000000000004</v>
      </c>
      <c r="L40" s="16">
        <f t="shared" si="5"/>
        <v>0.85299999999999998</v>
      </c>
      <c r="M40" s="16">
        <f t="shared" si="6"/>
        <v>0.50240000000000007</v>
      </c>
      <c r="N40" s="7">
        <v>3557.6</v>
      </c>
      <c r="O40" s="7">
        <v>5749.5</v>
      </c>
      <c r="P40" s="13">
        <f t="shared" si="7"/>
        <v>0.10076494961261262</v>
      </c>
    </row>
    <row r="41" spans="1:16" x14ac:dyDescent="0.3">
      <c r="A41" s="6">
        <v>38838</v>
      </c>
      <c r="B41" s="7">
        <v>3071.05</v>
      </c>
      <c r="C41" s="7">
        <v>17.46</v>
      </c>
      <c r="D41" s="7">
        <v>4.57</v>
      </c>
      <c r="E41" s="7">
        <v>7.6589999999999998</v>
      </c>
      <c r="F41" s="7">
        <f>(E41/'Yearly GDP'!$B$5)*100</f>
        <v>933.59175016455788</v>
      </c>
      <c r="G41" s="15">
        <f t="shared" si="0"/>
        <v>5.7273768613974797E-2</v>
      </c>
      <c r="H41" s="14">
        <f t="shared" si="1"/>
        <v>0.74779695278724112</v>
      </c>
      <c r="I41" s="7">
        <f t="shared" si="2"/>
        <v>0.161</v>
      </c>
      <c r="J41" s="7">
        <f t="shared" si="3"/>
        <v>0.90200000000000002</v>
      </c>
      <c r="K41" s="16">
        <f t="shared" si="4"/>
        <v>0.82699999999999996</v>
      </c>
      <c r="L41" s="16">
        <f t="shared" si="5"/>
        <v>0.88300000000000001</v>
      </c>
      <c r="M41" s="16">
        <f t="shared" si="6"/>
        <v>0.43359999999999999</v>
      </c>
      <c r="N41" s="7">
        <v>3071.05</v>
      </c>
      <c r="O41" s="7">
        <v>5560.15</v>
      </c>
      <c r="P41" s="13">
        <f t="shared" si="7"/>
        <v>0.12605583185579694</v>
      </c>
    </row>
    <row r="42" spans="1:16" x14ac:dyDescent="0.3">
      <c r="A42" s="6">
        <v>38869</v>
      </c>
      <c r="B42" s="7">
        <v>3128.2</v>
      </c>
      <c r="C42" s="7">
        <v>18.440000000000001</v>
      </c>
      <c r="D42" s="7">
        <v>4.66</v>
      </c>
      <c r="E42" s="7">
        <v>8.1509999999999998</v>
      </c>
      <c r="F42" s="7">
        <f>(E42/'Yearly GDP'!$B$5)*100</f>
        <v>993.56395816572808</v>
      </c>
      <c r="G42" s="15">
        <f t="shared" si="0"/>
        <v>5.4229934924078085E-2</v>
      </c>
      <c r="H42" s="14">
        <f t="shared" si="1"/>
        <v>0.66531634062174072</v>
      </c>
      <c r="I42" s="7">
        <f t="shared" si="2"/>
        <v>0.255</v>
      </c>
      <c r="J42" s="7">
        <f t="shared" si="3"/>
        <v>0.90900000000000003</v>
      </c>
      <c r="K42" s="16">
        <f t="shared" si="4"/>
        <v>0.66500000000000004</v>
      </c>
      <c r="L42" s="16">
        <f t="shared" si="5"/>
        <v>0.91700000000000004</v>
      </c>
      <c r="M42" s="16">
        <f t="shared" si="6"/>
        <v>0.43340000000000006</v>
      </c>
      <c r="N42" s="7">
        <v>3128.2</v>
      </c>
      <c r="O42" s="7">
        <v>5647.4</v>
      </c>
      <c r="P42" s="13">
        <f t="shared" si="7"/>
        <v>0.12541009778909817</v>
      </c>
    </row>
    <row r="43" spans="1:16" x14ac:dyDescent="0.3">
      <c r="A43" s="6">
        <v>38899</v>
      </c>
      <c r="B43" s="7">
        <v>3143.2</v>
      </c>
      <c r="C43" s="7">
        <v>17.64</v>
      </c>
      <c r="D43" s="7">
        <v>4.29</v>
      </c>
      <c r="E43" s="7">
        <v>8.2379999999999995</v>
      </c>
      <c r="F43" s="7">
        <f>(E43/'Yearly GDP'!$B$5)*100</f>
        <v>1004.1687998244715</v>
      </c>
      <c r="G43" s="15">
        <f t="shared" si="0"/>
        <v>5.6689342403628114E-2</v>
      </c>
      <c r="H43" s="14">
        <f t="shared" si="1"/>
        <v>0.68814448171434961</v>
      </c>
      <c r="I43" s="7">
        <f t="shared" si="2"/>
        <v>0.17599999999999999</v>
      </c>
      <c r="J43" s="7">
        <f t="shared" si="3"/>
        <v>0.84199999999999997</v>
      </c>
      <c r="K43" s="16">
        <f t="shared" si="4"/>
        <v>0.72899999999999998</v>
      </c>
      <c r="L43" s="16">
        <f t="shared" si="5"/>
        <v>0.95099999999999996</v>
      </c>
      <c r="M43" s="16">
        <f t="shared" si="6"/>
        <v>0.39440000000000008</v>
      </c>
      <c r="N43" s="7">
        <v>3143.2</v>
      </c>
      <c r="O43" s="7">
        <v>5482</v>
      </c>
      <c r="P43" s="13">
        <f t="shared" si="7"/>
        <v>0.11766950879346916</v>
      </c>
    </row>
    <row r="44" spans="1:16" x14ac:dyDescent="0.3">
      <c r="A44" s="6">
        <v>38930</v>
      </c>
      <c r="B44" s="7">
        <v>3413.9</v>
      </c>
      <c r="C44" s="7">
        <v>19.149999999999999</v>
      </c>
      <c r="D44" s="7">
        <v>4.55</v>
      </c>
      <c r="E44" s="7">
        <v>7.891</v>
      </c>
      <c r="F44" s="7">
        <f>(E44/'Yearly GDP'!$B$5)*100</f>
        <v>961.87132792120713</v>
      </c>
      <c r="G44" s="15">
        <f t="shared" si="0"/>
        <v>5.2219321148825069E-2</v>
      </c>
      <c r="H44" s="14">
        <f t="shared" si="1"/>
        <v>0.6617579666560014</v>
      </c>
      <c r="I44" s="7">
        <f t="shared" si="2"/>
        <v>0.30399999999999999</v>
      </c>
      <c r="J44" s="7">
        <f t="shared" si="3"/>
        <v>0.89800000000000002</v>
      </c>
      <c r="K44" s="16">
        <f t="shared" si="4"/>
        <v>0.64200000000000002</v>
      </c>
      <c r="L44" s="16">
        <f t="shared" si="5"/>
        <v>0.89400000000000002</v>
      </c>
      <c r="M44" s="16">
        <f t="shared" si="6"/>
        <v>0.45080000000000003</v>
      </c>
      <c r="N44" s="7">
        <v>3413.9</v>
      </c>
      <c r="O44" s="7">
        <v>5001</v>
      </c>
      <c r="P44" s="13">
        <f t="shared" si="7"/>
        <v>7.9347305763101561E-2</v>
      </c>
    </row>
    <row r="45" spans="1:16" x14ac:dyDescent="0.3">
      <c r="A45" s="6">
        <v>38961</v>
      </c>
      <c r="B45" s="7">
        <v>3588.4</v>
      </c>
      <c r="C45" s="7">
        <v>20.92</v>
      </c>
      <c r="D45" s="7">
        <v>4.76</v>
      </c>
      <c r="E45" s="7">
        <v>7.6420000000000003</v>
      </c>
      <c r="F45" s="7">
        <f>(E45/'Yearly GDP'!$B$5)*100</f>
        <v>931.51953972549302</v>
      </c>
      <c r="G45" s="15">
        <f t="shared" si="0"/>
        <v>4.780114722753346E-2</v>
      </c>
      <c r="H45" s="14">
        <f t="shared" si="1"/>
        <v>0.62550572137573224</v>
      </c>
      <c r="I45" s="7">
        <f t="shared" si="2"/>
        <v>0.46600000000000003</v>
      </c>
      <c r="J45" s="7">
        <f t="shared" si="3"/>
        <v>0.91300000000000003</v>
      </c>
      <c r="K45" s="16">
        <f t="shared" si="4"/>
        <v>0.48399999999999999</v>
      </c>
      <c r="L45" s="16">
        <f t="shared" si="5"/>
        <v>0.879</v>
      </c>
      <c r="M45" s="16">
        <f t="shared" si="6"/>
        <v>0.49</v>
      </c>
      <c r="N45" s="7">
        <v>3588.4</v>
      </c>
      <c r="O45" s="7">
        <v>4943.25</v>
      </c>
      <c r="P45" s="13">
        <f t="shared" si="7"/>
        <v>6.6159903505943696E-2</v>
      </c>
    </row>
    <row r="46" spans="1:16" x14ac:dyDescent="0.3">
      <c r="A46" s="6">
        <v>38991</v>
      </c>
      <c r="B46" s="7">
        <v>3744.1</v>
      </c>
      <c r="C46" s="7">
        <v>20.37</v>
      </c>
      <c r="D46" s="7">
        <v>4.84</v>
      </c>
      <c r="E46" s="7">
        <v>7.625</v>
      </c>
      <c r="F46" s="7">
        <f>(E46/'Yearly GDP'!$B$5)*100</f>
        <v>929.44732928642816</v>
      </c>
      <c r="G46" s="15">
        <f t="shared" si="0"/>
        <v>4.9091801669121256E-2</v>
      </c>
      <c r="H46" s="14">
        <f t="shared" si="1"/>
        <v>0.64382690713601654</v>
      </c>
      <c r="I46" s="7">
        <f t="shared" si="2"/>
        <v>0.36399999999999999</v>
      </c>
      <c r="J46" s="7">
        <f t="shared" si="3"/>
        <v>0.92400000000000004</v>
      </c>
      <c r="K46" s="16">
        <f t="shared" si="4"/>
        <v>0.57799999999999996</v>
      </c>
      <c r="L46" s="16">
        <f t="shared" si="5"/>
        <v>0.875</v>
      </c>
      <c r="M46" s="16">
        <f t="shared" si="6"/>
        <v>0.47100000000000003</v>
      </c>
      <c r="N46" s="7">
        <v>3744.1</v>
      </c>
      <c r="O46" s="7">
        <v>5326.6</v>
      </c>
      <c r="P46" s="13">
        <f t="shared" si="7"/>
        <v>7.3051408670921081E-2</v>
      </c>
    </row>
    <row r="47" spans="1:16" x14ac:dyDescent="0.3">
      <c r="A47" s="6">
        <v>39022</v>
      </c>
      <c r="B47" s="7">
        <v>3954.5</v>
      </c>
      <c r="C47" s="7">
        <v>21.18</v>
      </c>
      <c r="D47" s="7">
        <v>5.08</v>
      </c>
      <c r="E47" s="7">
        <v>7.4240000000000004</v>
      </c>
      <c r="F47" s="7">
        <f>(E47/'Yearly GDP'!$B$5)*100</f>
        <v>904.94648821277951</v>
      </c>
      <c r="G47" s="15">
        <f t="shared" si="0"/>
        <v>4.7214353163361665E-2</v>
      </c>
      <c r="H47" s="14">
        <f t="shared" si="1"/>
        <v>0.63596919670476382</v>
      </c>
      <c r="I47" s="7">
        <f t="shared" si="2"/>
        <v>0.48799999999999999</v>
      </c>
      <c r="J47" s="7">
        <f t="shared" si="3"/>
        <v>0.93899999999999995</v>
      </c>
      <c r="K47" s="16">
        <f t="shared" si="4"/>
        <v>0.53</v>
      </c>
      <c r="L47" s="16">
        <f t="shared" si="5"/>
        <v>0.86</v>
      </c>
      <c r="M47" s="16">
        <f t="shared" si="6"/>
        <v>0.51700000000000002</v>
      </c>
      <c r="N47" s="7">
        <v>3954.5</v>
      </c>
      <c r="O47" s="7">
        <v>4832.05</v>
      </c>
      <c r="P47" s="13">
        <f t="shared" si="7"/>
        <v>4.0897505920679089E-2</v>
      </c>
    </row>
    <row r="48" spans="1:16" x14ac:dyDescent="0.3">
      <c r="A48" s="6">
        <v>39052</v>
      </c>
      <c r="B48" s="7">
        <v>3966.4</v>
      </c>
      <c r="C48" s="7">
        <v>21.26</v>
      </c>
      <c r="D48" s="7">
        <v>5.07</v>
      </c>
      <c r="E48" s="7">
        <v>7.6189999999999998</v>
      </c>
      <c r="F48" s="7">
        <f>(E48/'Yearly GDP'!$B$5)*100</f>
        <v>928.71596089616992</v>
      </c>
      <c r="G48" s="15">
        <f t="shared" si="0"/>
        <v>4.7036688617121354E-2</v>
      </c>
      <c r="H48" s="14">
        <f t="shared" si="1"/>
        <v>0.61736039660219655</v>
      </c>
      <c r="I48" s="7">
        <f t="shared" si="2"/>
        <v>0.5</v>
      </c>
      <c r="J48" s="7">
        <f t="shared" si="3"/>
        <v>0.93600000000000005</v>
      </c>
      <c r="K48" s="16">
        <f t="shared" si="4"/>
        <v>0.432</v>
      </c>
      <c r="L48" s="16">
        <f t="shared" si="5"/>
        <v>0.872</v>
      </c>
      <c r="M48" s="16">
        <f t="shared" si="6"/>
        <v>0.49920000000000003</v>
      </c>
      <c r="N48" s="7">
        <v>3966.4</v>
      </c>
      <c r="O48" s="7">
        <v>4624.3</v>
      </c>
      <c r="P48" s="13">
        <f t="shared" si="7"/>
        <v>3.1169118630373083E-2</v>
      </c>
    </row>
    <row r="49" spans="1:16" x14ac:dyDescent="0.3">
      <c r="A49" s="6">
        <v>39083</v>
      </c>
      <c r="B49" s="7">
        <v>4082.7</v>
      </c>
      <c r="C49" s="7">
        <v>19.850000000000001</v>
      </c>
      <c r="D49" s="7">
        <v>5.2</v>
      </c>
      <c r="E49" s="7">
        <v>7.7380000000000004</v>
      </c>
      <c r="F49" s="10">
        <f>(E49/'Yearly GDP'!$B$6)*100</f>
        <v>822.96386105970691</v>
      </c>
      <c r="G49" s="15">
        <f t="shared" si="0"/>
        <v>5.037783375314861E-2</v>
      </c>
      <c r="H49" s="14">
        <f t="shared" si="1"/>
        <v>0.6510446336669502</v>
      </c>
      <c r="I49" s="7">
        <f t="shared" si="2"/>
        <v>0.33800000000000002</v>
      </c>
      <c r="J49" s="7">
        <f t="shared" si="3"/>
        <v>0.95399999999999996</v>
      </c>
      <c r="K49" s="16">
        <f t="shared" si="4"/>
        <v>0.59699999999999998</v>
      </c>
      <c r="L49" s="16">
        <f t="shared" si="5"/>
        <v>0.78500000000000003</v>
      </c>
      <c r="M49" s="16">
        <f t="shared" si="6"/>
        <v>0.4884</v>
      </c>
      <c r="N49" s="7">
        <v>4082.7</v>
      </c>
      <c r="O49" s="7">
        <v>5199.25</v>
      </c>
      <c r="P49" s="13">
        <f t="shared" si="7"/>
        <v>4.9539157317481486E-2</v>
      </c>
    </row>
    <row r="50" spans="1:16" x14ac:dyDescent="0.3">
      <c r="A50" s="6">
        <v>39114</v>
      </c>
      <c r="B50" s="7">
        <v>3745.3</v>
      </c>
      <c r="C50" s="7">
        <v>18.010000000000002</v>
      </c>
      <c r="D50" s="7">
        <v>4.7699999999999996</v>
      </c>
      <c r="E50" s="7">
        <v>8</v>
      </c>
      <c r="F50" s="10">
        <f>(E50/'Yearly GDP'!$B$6)*100</f>
        <v>850.82849424627227</v>
      </c>
      <c r="G50" s="15">
        <f t="shared" si="0"/>
        <v>5.5524708495280392E-2</v>
      </c>
      <c r="H50" s="14">
        <f t="shared" si="1"/>
        <v>0.69405885619100494</v>
      </c>
      <c r="I50" s="7">
        <f t="shared" si="2"/>
        <v>0.218</v>
      </c>
      <c r="J50" s="7">
        <f t="shared" si="3"/>
        <v>0.91700000000000004</v>
      </c>
      <c r="K50" s="16">
        <f t="shared" si="4"/>
        <v>0.74399999999999999</v>
      </c>
      <c r="L50" s="16">
        <f t="shared" si="5"/>
        <v>0.81899999999999995</v>
      </c>
      <c r="M50" s="16">
        <f t="shared" si="6"/>
        <v>0.4556</v>
      </c>
      <c r="N50" s="7">
        <v>3745.3</v>
      </c>
      <c r="O50" s="7">
        <v>5385.2</v>
      </c>
      <c r="P50" s="13">
        <f t="shared" si="7"/>
        <v>7.5333177276352359E-2</v>
      </c>
    </row>
    <row r="51" spans="1:16" x14ac:dyDescent="0.3">
      <c r="A51" s="6">
        <v>39142</v>
      </c>
      <c r="B51" s="7">
        <v>3821.55</v>
      </c>
      <c r="C51" s="7">
        <v>18.399999999999999</v>
      </c>
      <c r="D51" s="7">
        <v>4.87</v>
      </c>
      <c r="E51" s="7">
        <v>8.0220000000000002</v>
      </c>
      <c r="F51" s="10">
        <f>(E51/'Yearly GDP'!$B$6)*100</f>
        <v>853.1682726054496</v>
      </c>
      <c r="G51" s="15">
        <f t="shared" si="0"/>
        <v>5.4347826086956527E-2</v>
      </c>
      <c r="H51" s="14">
        <f t="shared" si="1"/>
        <v>0.67748474304358675</v>
      </c>
      <c r="I51" s="7">
        <f t="shared" si="2"/>
        <v>0.24399999999999999</v>
      </c>
      <c r="J51" s="7">
        <f t="shared" si="3"/>
        <v>0.92800000000000005</v>
      </c>
      <c r="K51" s="16">
        <f t="shared" si="4"/>
        <v>0.69899999999999995</v>
      </c>
      <c r="L51" s="16">
        <f t="shared" si="5"/>
        <v>0.82299999999999995</v>
      </c>
      <c r="M51" s="16">
        <f t="shared" si="6"/>
        <v>0.45840000000000003</v>
      </c>
      <c r="N51" s="7">
        <v>3821.55</v>
      </c>
      <c r="O51" s="7">
        <v>5295.55</v>
      </c>
      <c r="P51" s="13">
        <f t="shared" si="7"/>
        <v>6.7417467325162406E-2</v>
      </c>
    </row>
    <row r="52" spans="1:16" x14ac:dyDescent="0.3">
      <c r="A52" s="6">
        <v>39173</v>
      </c>
      <c r="B52" s="7">
        <v>4087.9</v>
      </c>
      <c r="C52" s="7">
        <v>19.48</v>
      </c>
      <c r="D52" s="7">
        <v>5.33</v>
      </c>
      <c r="E52" s="7">
        <v>8.173</v>
      </c>
      <c r="F52" s="10">
        <f>(E52/'Yearly GDP'!$B$6)*100</f>
        <v>869.22766043434797</v>
      </c>
      <c r="G52" s="15">
        <f t="shared" si="0"/>
        <v>5.1334702258726897E-2</v>
      </c>
      <c r="H52" s="14">
        <f t="shared" si="1"/>
        <v>0.62810109211705489</v>
      </c>
      <c r="I52" s="7">
        <f t="shared" si="2"/>
        <v>0.315</v>
      </c>
      <c r="J52" s="7">
        <f t="shared" si="3"/>
        <v>0.96199999999999997</v>
      </c>
      <c r="K52" s="16">
        <f t="shared" si="4"/>
        <v>0.5</v>
      </c>
      <c r="L52" s="16">
        <f t="shared" si="5"/>
        <v>0.84199999999999997</v>
      </c>
      <c r="M52" s="16">
        <f t="shared" si="6"/>
        <v>0.45</v>
      </c>
      <c r="N52" s="7">
        <v>4087.9</v>
      </c>
      <c r="O52" s="7">
        <v>5248.15</v>
      </c>
      <c r="P52" s="13">
        <f t="shared" si="7"/>
        <v>5.1238348275036927E-2</v>
      </c>
    </row>
    <row r="53" spans="1:16" x14ac:dyDescent="0.3">
      <c r="A53" s="6">
        <v>39203</v>
      </c>
      <c r="B53" s="7">
        <v>4295.8</v>
      </c>
      <c r="C53" s="7">
        <v>20.41</v>
      </c>
      <c r="D53" s="7">
        <v>5.59</v>
      </c>
      <c r="E53" s="7">
        <v>8.08</v>
      </c>
      <c r="F53" s="10">
        <f>(E53/'Yearly GDP'!$B$6)*100</f>
        <v>859.33677918873514</v>
      </c>
      <c r="G53" s="15">
        <f t="shared" si="0"/>
        <v>4.8995590396864283E-2</v>
      </c>
      <c r="H53" s="14">
        <f t="shared" si="1"/>
        <v>0.6063810692681223</v>
      </c>
      <c r="I53" s="7">
        <f t="shared" si="2"/>
        <v>0.372</v>
      </c>
      <c r="J53" s="7">
        <f t="shared" si="3"/>
        <v>0.98799999999999999</v>
      </c>
      <c r="K53" s="16">
        <f t="shared" si="4"/>
        <v>0.38300000000000001</v>
      </c>
      <c r="L53" s="16">
        <f t="shared" si="5"/>
        <v>0.83</v>
      </c>
      <c r="M53" s="16">
        <f t="shared" si="6"/>
        <v>0.45700000000000007</v>
      </c>
      <c r="N53" s="7">
        <v>4295.8</v>
      </c>
      <c r="O53" s="7">
        <v>4924.25</v>
      </c>
      <c r="P53" s="13">
        <f t="shared" si="7"/>
        <v>2.7683084059752394E-2</v>
      </c>
    </row>
    <row r="54" spans="1:16" x14ac:dyDescent="0.3">
      <c r="A54" s="6">
        <v>39234</v>
      </c>
      <c r="B54" s="7">
        <v>4318.3</v>
      </c>
      <c r="C54" s="7">
        <v>20.6</v>
      </c>
      <c r="D54" s="7">
        <v>5.4</v>
      </c>
      <c r="E54" s="7">
        <v>8.1869999999999994</v>
      </c>
      <c r="F54" s="10">
        <f>(E54/'Yearly GDP'!$B$6)*100</f>
        <v>870.71661029927884</v>
      </c>
      <c r="G54" s="15">
        <f t="shared" si="0"/>
        <v>4.8543689320388349E-2</v>
      </c>
      <c r="H54" s="14">
        <f t="shared" si="1"/>
        <v>0.59293623207998469</v>
      </c>
      <c r="I54" s="7">
        <f t="shared" si="2"/>
        <v>0.40600000000000003</v>
      </c>
      <c r="J54" s="7">
        <f t="shared" si="3"/>
        <v>0.97699999999999998</v>
      </c>
      <c r="K54" s="16">
        <f t="shared" si="4"/>
        <v>0.29599999999999999</v>
      </c>
      <c r="L54" s="16">
        <f t="shared" si="5"/>
        <v>0.84499999999999997</v>
      </c>
      <c r="M54" s="16">
        <f t="shared" si="6"/>
        <v>0.44800000000000006</v>
      </c>
      <c r="N54" s="7">
        <v>4318.3</v>
      </c>
      <c r="O54" s="7">
        <v>5278.9</v>
      </c>
      <c r="P54" s="13">
        <f t="shared" si="7"/>
        <v>4.0988963007475565E-2</v>
      </c>
    </row>
    <row r="55" spans="1:16" x14ac:dyDescent="0.3">
      <c r="A55" s="6">
        <v>39264</v>
      </c>
      <c r="B55" s="7">
        <v>4528.8500000000004</v>
      </c>
      <c r="C55" s="7">
        <v>20.49</v>
      </c>
      <c r="D55" s="7">
        <v>5.31</v>
      </c>
      <c r="E55" s="7">
        <v>7.8449999999999998</v>
      </c>
      <c r="F55" s="10">
        <f>(E55/'Yearly GDP'!$B$6)*100</f>
        <v>834.34369217025073</v>
      </c>
      <c r="G55" s="15">
        <f t="shared" si="0"/>
        <v>4.880429477794046E-2</v>
      </c>
      <c r="H55" s="14">
        <f t="shared" si="1"/>
        <v>0.62210700800433982</v>
      </c>
      <c r="I55" s="7">
        <f t="shared" si="2"/>
        <v>0.39400000000000002</v>
      </c>
      <c r="J55" s="7">
        <f t="shared" si="3"/>
        <v>0.95799999999999996</v>
      </c>
      <c r="K55" s="16">
        <f t="shared" si="4"/>
        <v>0.45100000000000001</v>
      </c>
      <c r="L55" s="16">
        <f t="shared" si="5"/>
        <v>0.79600000000000004</v>
      </c>
      <c r="M55" s="16">
        <f t="shared" si="6"/>
        <v>0.48020000000000002</v>
      </c>
      <c r="N55" s="7">
        <v>4528.8500000000004</v>
      </c>
      <c r="O55" s="7">
        <v>5229</v>
      </c>
      <c r="P55" s="13">
        <f t="shared" si="7"/>
        <v>2.9167684439825203E-2</v>
      </c>
    </row>
    <row r="56" spans="1:16" x14ac:dyDescent="0.3">
      <c r="A56" s="6">
        <v>39295</v>
      </c>
      <c r="B56" s="7">
        <v>4464</v>
      </c>
      <c r="C56" s="7">
        <v>20.2</v>
      </c>
      <c r="D56" s="7">
        <v>5.08</v>
      </c>
      <c r="E56" s="7">
        <v>7.93</v>
      </c>
      <c r="F56" s="10">
        <f>(E56/'Yearly GDP'!$B$6)*100</f>
        <v>843.38374492161745</v>
      </c>
      <c r="G56" s="15">
        <f t="shared" si="0"/>
        <v>4.9504950495049507E-2</v>
      </c>
      <c r="H56" s="14">
        <f t="shared" si="1"/>
        <v>0.6242742811481653</v>
      </c>
      <c r="I56" s="7">
        <f t="shared" si="2"/>
        <v>0.34899999999999998</v>
      </c>
      <c r="J56" s="7">
        <f t="shared" si="3"/>
        <v>0.93899999999999995</v>
      </c>
      <c r="K56" s="16">
        <f t="shared" si="4"/>
        <v>0.47299999999999998</v>
      </c>
      <c r="L56" s="16">
        <f t="shared" si="5"/>
        <v>0.81200000000000006</v>
      </c>
      <c r="M56" s="16">
        <f t="shared" si="6"/>
        <v>0.45960000000000001</v>
      </c>
      <c r="N56" s="7">
        <v>4464</v>
      </c>
      <c r="O56" s="7">
        <v>5258.5</v>
      </c>
      <c r="P56" s="13">
        <f t="shared" si="7"/>
        <v>3.3302638784580285E-2</v>
      </c>
    </row>
    <row r="57" spans="1:16" x14ac:dyDescent="0.3">
      <c r="A57" s="6">
        <v>39326</v>
      </c>
      <c r="B57" s="7">
        <v>5021.3500000000004</v>
      </c>
      <c r="C57" s="7">
        <v>22.58</v>
      </c>
      <c r="D57" s="7">
        <v>5.36</v>
      </c>
      <c r="E57" s="7">
        <v>7.9249999999999998</v>
      </c>
      <c r="F57" s="10">
        <f>(E57/'Yearly GDP'!$B$6)*100</f>
        <v>842.85197711271348</v>
      </c>
      <c r="G57" s="15">
        <f t="shared" si="0"/>
        <v>4.4286979627989373E-2</v>
      </c>
      <c r="H57" s="14">
        <f t="shared" si="1"/>
        <v>0.55882624136264192</v>
      </c>
      <c r="I57" s="7">
        <f t="shared" si="2"/>
        <v>0.66900000000000004</v>
      </c>
      <c r="J57" s="7">
        <f t="shared" si="3"/>
        <v>0.96599999999999997</v>
      </c>
      <c r="K57" s="16">
        <f t="shared" si="4"/>
        <v>0.17599999999999999</v>
      </c>
      <c r="L57" s="16">
        <f t="shared" si="5"/>
        <v>0.80800000000000005</v>
      </c>
      <c r="M57" s="16">
        <f t="shared" si="6"/>
        <v>0.53439999999999999</v>
      </c>
      <c r="N57" s="7">
        <v>5021.3500000000004</v>
      </c>
      <c r="O57" s="7">
        <v>5703.3</v>
      </c>
      <c r="P57" s="13">
        <f t="shared" si="7"/>
        <v>2.5796338508963457E-2</v>
      </c>
    </row>
    <row r="58" spans="1:16" x14ac:dyDescent="0.3">
      <c r="A58" s="6">
        <v>39356</v>
      </c>
      <c r="B58" s="7">
        <v>5900.65</v>
      </c>
      <c r="C58" s="7">
        <v>25.74</v>
      </c>
      <c r="D58" s="7">
        <v>6.18</v>
      </c>
      <c r="E58" s="7">
        <v>7.8390000000000004</v>
      </c>
      <c r="F58" s="10">
        <f>(E58/'Yearly GDP'!$B$6)*100</f>
        <v>833.7055707995662</v>
      </c>
      <c r="G58" s="15">
        <f t="shared" si="0"/>
        <v>3.8850038850038855E-2</v>
      </c>
      <c r="H58" s="14">
        <f t="shared" si="1"/>
        <v>0.49559942403417345</v>
      </c>
      <c r="I58" s="7">
        <f t="shared" si="2"/>
        <v>0.84199999999999997</v>
      </c>
      <c r="J58" s="7">
        <f t="shared" si="3"/>
        <v>0.996</v>
      </c>
      <c r="K58" s="16">
        <f t="shared" si="4"/>
        <v>0.06</v>
      </c>
      <c r="L58" s="16">
        <f t="shared" si="5"/>
        <v>0.79300000000000004</v>
      </c>
      <c r="M58" s="16">
        <f t="shared" si="6"/>
        <v>0.58940000000000003</v>
      </c>
      <c r="N58" s="7">
        <v>5900.65</v>
      </c>
      <c r="O58" s="7">
        <v>5619.7</v>
      </c>
      <c r="P58" s="13">
        <f t="shared" si="7"/>
        <v>-9.7094029256974412E-3</v>
      </c>
    </row>
    <row r="59" spans="1:16" x14ac:dyDescent="0.3">
      <c r="A59" s="6">
        <v>39387</v>
      </c>
      <c r="B59" s="7">
        <v>5762.75</v>
      </c>
      <c r="C59" s="7">
        <v>25.21</v>
      </c>
      <c r="D59" s="7">
        <v>6.05</v>
      </c>
      <c r="E59" s="7">
        <v>7.9050000000000002</v>
      </c>
      <c r="F59" s="10">
        <f>(E59/'Yearly GDP'!$B$6)*100</f>
        <v>840.72490587709797</v>
      </c>
      <c r="G59" s="15">
        <f t="shared" si="0"/>
        <v>3.9666798889329627E-2</v>
      </c>
      <c r="H59" s="14">
        <f t="shared" si="1"/>
        <v>0.50179378734129831</v>
      </c>
      <c r="I59" s="7">
        <f t="shared" si="2"/>
        <v>0.81200000000000006</v>
      </c>
      <c r="J59" s="7">
        <f t="shared" si="3"/>
        <v>0.99199999999999999</v>
      </c>
      <c r="K59" s="16">
        <f t="shared" si="4"/>
        <v>8.2000000000000003E-2</v>
      </c>
      <c r="L59" s="16">
        <f t="shared" si="5"/>
        <v>0.8</v>
      </c>
      <c r="M59" s="16">
        <f t="shared" si="6"/>
        <v>0.57960000000000012</v>
      </c>
      <c r="N59" s="7">
        <v>5762.75</v>
      </c>
      <c r="O59" s="7">
        <v>5879.85</v>
      </c>
      <c r="P59" s="13">
        <f t="shared" si="7"/>
        <v>4.0313963145985898E-3</v>
      </c>
    </row>
    <row r="60" spans="1:16" x14ac:dyDescent="0.3">
      <c r="A60" s="6">
        <v>39417</v>
      </c>
      <c r="B60" s="7">
        <v>6138.6</v>
      </c>
      <c r="C60" s="7">
        <v>27.62</v>
      </c>
      <c r="D60" s="7">
        <v>6.39</v>
      </c>
      <c r="E60" s="7">
        <v>7.7910000000000004</v>
      </c>
      <c r="F60" s="10">
        <f>(E60/'Yearly GDP'!$B$6)*100</f>
        <v>828.60059983408848</v>
      </c>
      <c r="G60" s="15">
        <f t="shared" si="0"/>
        <v>3.6205648081100647E-2</v>
      </c>
      <c r="H60" s="14">
        <f t="shared" si="1"/>
        <v>0.46471118060711902</v>
      </c>
      <c r="I60" s="7">
        <f t="shared" si="2"/>
        <v>0.92400000000000004</v>
      </c>
      <c r="J60" s="7">
        <f t="shared" si="3"/>
        <v>1</v>
      </c>
      <c r="K60" s="16">
        <f t="shared" si="4"/>
        <v>2.1999999999999999E-2</v>
      </c>
      <c r="L60" s="16">
        <f t="shared" si="5"/>
        <v>0.78900000000000003</v>
      </c>
      <c r="M60" s="16">
        <f t="shared" si="6"/>
        <v>0.61620000000000008</v>
      </c>
      <c r="N60" s="7">
        <v>6138.6</v>
      </c>
      <c r="O60" s="7">
        <v>5905.1</v>
      </c>
      <c r="P60" s="13">
        <f t="shared" si="7"/>
        <v>-7.7260631146349734E-3</v>
      </c>
    </row>
    <row r="61" spans="1:16" x14ac:dyDescent="0.3">
      <c r="A61" s="6">
        <v>39448</v>
      </c>
      <c r="B61" s="7">
        <v>5137.45</v>
      </c>
      <c r="C61" s="7">
        <v>21.97</v>
      </c>
      <c r="D61" s="7">
        <v>5.38</v>
      </c>
      <c r="E61" s="7">
        <v>7.5289999999999999</v>
      </c>
      <c r="F61" s="7">
        <f>(E61/'Yearly GDP'!$B$7)*100</f>
        <v>617.13114754098365</v>
      </c>
      <c r="G61" s="15">
        <f t="shared" si="0"/>
        <v>4.5516613563950842E-2</v>
      </c>
      <c r="H61" s="14">
        <f t="shared" si="1"/>
        <v>0.6045505852563533</v>
      </c>
      <c r="I61" s="7">
        <f t="shared" si="2"/>
        <v>0.57099999999999995</v>
      </c>
      <c r="J61" s="7">
        <f t="shared" si="3"/>
        <v>0.96899999999999997</v>
      </c>
      <c r="K61" s="16">
        <f t="shared" si="4"/>
        <v>0.36799999999999999</v>
      </c>
      <c r="L61" s="16">
        <f t="shared" si="5"/>
        <v>0.74399999999999999</v>
      </c>
      <c r="M61" s="16">
        <f t="shared" si="6"/>
        <v>0.54700000000000004</v>
      </c>
      <c r="N61" s="7">
        <v>5137.45</v>
      </c>
      <c r="O61" s="7">
        <v>6034.75</v>
      </c>
      <c r="P61" s="13">
        <f t="shared" si="7"/>
        <v>3.2719398993127813E-2</v>
      </c>
    </row>
    <row r="62" spans="1:16" x14ac:dyDescent="0.3">
      <c r="A62" s="6">
        <v>39479</v>
      </c>
      <c r="B62" s="7">
        <v>5223.5</v>
      </c>
      <c r="C62" s="7">
        <v>22.27</v>
      </c>
      <c r="D62" s="7">
        <v>5.47</v>
      </c>
      <c r="E62" s="7">
        <v>7.5679999999999996</v>
      </c>
      <c r="F62" s="7">
        <f>(E62/'Yearly GDP'!$B$7)*100</f>
        <v>620.32786885245901</v>
      </c>
      <c r="G62" s="15">
        <f t="shared" si="0"/>
        <v>4.4903457566232603E-2</v>
      </c>
      <c r="H62" s="14">
        <f t="shared" si="1"/>
        <v>0.59333321308446885</v>
      </c>
      <c r="I62" s="7">
        <f t="shared" si="2"/>
        <v>0.624</v>
      </c>
      <c r="J62" s="7">
        <f t="shared" si="3"/>
        <v>0.98099999999999998</v>
      </c>
      <c r="K62" s="16">
        <f t="shared" si="4"/>
        <v>0.3</v>
      </c>
      <c r="L62" s="16">
        <f t="shared" si="5"/>
        <v>0.751</v>
      </c>
      <c r="M62" s="16">
        <f t="shared" si="6"/>
        <v>0.55559999999999998</v>
      </c>
      <c r="N62" s="7">
        <v>5223.5</v>
      </c>
      <c r="O62" s="7">
        <v>5693.05</v>
      </c>
      <c r="P62" s="13">
        <f t="shared" si="7"/>
        <v>1.7364735557062749E-2</v>
      </c>
    </row>
    <row r="63" spans="1:16" x14ac:dyDescent="0.3">
      <c r="A63" s="6">
        <v>39508</v>
      </c>
      <c r="B63" s="7">
        <v>4734.5</v>
      </c>
      <c r="C63" s="7">
        <v>20.63</v>
      </c>
      <c r="D63" s="7">
        <v>5.09</v>
      </c>
      <c r="E63" s="7">
        <v>7.9379999999999997</v>
      </c>
      <c r="F63" s="7">
        <f>(E63/'Yearly GDP'!$B$7)*100</f>
        <v>650.65573770491801</v>
      </c>
      <c r="G63" s="15">
        <f t="shared" si="0"/>
        <v>4.8473097430925836E-2</v>
      </c>
      <c r="H63" s="14">
        <f t="shared" si="1"/>
        <v>0.61064622613915143</v>
      </c>
      <c r="I63" s="7">
        <f t="shared" si="2"/>
        <v>0.40899999999999997</v>
      </c>
      <c r="J63" s="7">
        <f t="shared" si="3"/>
        <v>0.94699999999999995</v>
      </c>
      <c r="K63" s="16">
        <f t="shared" si="4"/>
        <v>0.40200000000000002</v>
      </c>
      <c r="L63" s="16">
        <f t="shared" si="5"/>
        <v>0.75900000000000001</v>
      </c>
      <c r="M63" s="16">
        <f t="shared" si="6"/>
        <v>0.48160000000000003</v>
      </c>
      <c r="N63" s="7">
        <v>4734.5</v>
      </c>
      <c r="O63" s="7">
        <v>5682.55</v>
      </c>
      <c r="P63" s="13">
        <f t="shared" si="7"/>
        <v>3.7179272345263081E-2</v>
      </c>
    </row>
    <row r="64" spans="1:16" x14ac:dyDescent="0.3">
      <c r="A64" s="6">
        <v>39539</v>
      </c>
      <c r="B64" s="7">
        <v>5165.8999999999996</v>
      </c>
      <c r="C64" s="7">
        <v>22.17</v>
      </c>
      <c r="D64" s="7">
        <v>5.55</v>
      </c>
      <c r="E64" s="7">
        <v>7.9560000000000004</v>
      </c>
      <c r="F64" s="7">
        <f>(E64/'Yearly GDP'!$B$7)*100</f>
        <v>652.13114754098365</v>
      </c>
      <c r="G64" s="15">
        <f t="shared" si="0"/>
        <v>4.5105999097880017E-2</v>
      </c>
      <c r="H64" s="14">
        <f t="shared" si="1"/>
        <v>0.56694317619255929</v>
      </c>
      <c r="I64" s="7">
        <f t="shared" si="2"/>
        <v>0.60099999999999998</v>
      </c>
      <c r="J64" s="7">
        <f t="shared" si="3"/>
        <v>0.98399999999999999</v>
      </c>
      <c r="K64" s="16">
        <f t="shared" si="4"/>
        <v>0.21</v>
      </c>
      <c r="L64" s="16">
        <f t="shared" si="5"/>
        <v>0.76300000000000001</v>
      </c>
      <c r="M64" s="16">
        <f t="shared" si="6"/>
        <v>0.52659999999999996</v>
      </c>
      <c r="N64" s="7">
        <v>5165.8999999999996</v>
      </c>
      <c r="O64" s="7">
        <v>5930.2</v>
      </c>
      <c r="P64" s="13">
        <f t="shared" si="7"/>
        <v>2.7980009077033685E-2</v>
      </c>
    </row>
    <row r="65" spans="1:16" x14ac:dyDescent="0.3">
      <c r="A65" s="6">
        <v>39569</v>
      </c>
      <c r="B65" s="7">
        <v>4870.1000000000004</v>
      </c>
      <c r="C65" s="7">
        <v>20.74</v>
      </c>
      <c r="D65" s="7">
        <v>5.01</v>
      </c>
      <c r="E65" s="7">
        <v>8.1010000000000009</v>
      </c>
      <c r="F65" s="7">
        <f>(E65/'Yearly GDP'!$B$7)*100</f>
        <v>664.01639344262298</v>
      </c>
      <c r="G65" s="15">
        <f t="shared" si="0"/>
        <v>4.8216007714561235E-2</v>
      </c>
      <c r="H65" s="14">
        <f t="shared" si="1"/>
        <v>0.5951858747631309</v>
      </c>
      <c r="I65" s="7">
        <f t="shared" si="2"/>
        <v>0.439</v>
      </c>
      <c r="J65" s="7">
        <f t="shared" si="3"/>
        <v>0.93200000000000005</v>
      </c>
      <c r="K65" s="16">
        <f t="shared" si="4"/>
        <v>0.312</v>
      </c>
      <c r="L65" s="16">
        <f t="shared" si="5"/>
        <v>0.76600000000000001</v>
      </c>
      <c r="M65" s="16">
        <f t="shared" si="6"/>
        <v>0.47120000000000001</v>
      </c>
      <c r="N65" s="7">
        <v>4870.1000000000004</v>
      </c>
      <c r="O65" s="7">
        <v>5985.95</v>
      </c>
      <c r="P65" s="13">
        <f t="shared" si="7"/>
        <v>4.2123144407337332E-2</v>
      </c>
    </row>
    <row r="66" spans="1:16" x14ac:dyDescent="0.3">
      <c r="A66" s="6">
        <v>39600</v>
      </c>
      <c r="B66" s="7">
        <v>4040.55</v>
      </c>
      <c r="C66" s="7">
        <v>17.28</v>
      </c>
      <c r="D66" s="7">
        <v>4</v>
      </c>
      <c r="E66" s="7">
        <v>8.7129999999999992</v>
      </c>
      <c r="F66" s="7">
        <f>(E66/'Yearly GDP'!$B$7)*100</f>
        <v>714.18032786885237</v>
      </c>
      <c r="G66" s="15">
        <f t="shared" si="0"/>
        <v>5.7870370370370364E-2</v>
      </c>
      <c r="H66" s="14">
        <f t="shared" si="1"/>
        <v>0.66418421175680442</v>
      </c>
      <c r="I66" s="7">
        <f t="shared" si="2"/>
        <v>0.157</v>
      </c>
      <c r="J66" s="7">
        <f t="shared" si="3"/>
        <v>0.748</v>
      </c>
      <c r="K66" s="16">
        <f t="shared" si="4"/>
        <v>0.65400000000000003</v>
      </c>
      <c r="L66" s="16">
        <f t="shared" si="5"/>
        <v>0.77800000000000002</v>
      </c>
      <c r="M66" s="16">
        <f t="shared" si="6"/>
        <v>0.38760000000000006</v>
      </c>
      <c r="N66" s="7">
        <v>4040.55</v>
      </c>
      <c r="O66" s="7">
        <v>5842.2</v>
      </c>
      <c r="P66" s="13">
        <f t="shared" si="7"/>
        <v>7.6532602898675473E-2</v>
      </c>
    </row>
    <row r="67" spans="1:16" x14ac:dyDescent="0.3">
      <c r="A67" s="6">
        <v>39630</v>
      </c>
      <c r="B67" s="7">
        <v>4332.95</v>
      </c>
      <c r="C67" s="7">
        <v>18.22</v>
      </c>
      <c r="D67" s="7">
        <v>3.99</v>
      </c>
      <c r="E67" s="7">
        <v>9.3160000000000007</v>
      </c>
      <c r="F67" s="7">
        <f>(E67/'Yearly GDP'!$B$7)*100</f>
        <v>763.60655737704928</v>
      </c>
      <c r="G67" s="15">
        <f t="shared" si="0"/>
        <v>5.4884742041712405E-2</v>
      </c>
      <c r="H67" s="14">
        <f t="shared" si="1"/>
        <v>0.58914493389558187</v>
      </c>
      <c r="I67" s="7">
        <f t="shared" si="2"/>
        <v>0.23300000000000001</v>
      </c>
      <c r="J67" s="7">
        <f t="shared" si="3"/>
        <v>0.74399999999999999</v>
      </c>
      <c r="K67" s="16">
        <f t="shared" si="4"/>
        <v>0.27800000000000002</v>
      </c>
      <c r="L67" s="16">
        <f t="shared" si="5"/>
        <v>0.78100000000000003</v>
      </c>
      <c r="M67" s="16">
        <f t="shared" si="6"/>
        <v>0.34140000000000004</v>
      </c>
      <c r="N67" s="7">
        <v>4332.95</v>
      </c>
      <c r="O67" s="7">
        <v>5742</v>
      </c>
      <c r="P67" s="13">
        <f t="shared" si="7"/>
        <v>5.7927489529790765E-2</v>
      </c>
    </row>
    <row r="68" spans="1:16" x14ac:dyDescent="0.3">
      <c r="A68" s="6">
        <v>39661</v>
      </c>
      <c r="B68" s="7">
        <v>4360</v>
      </c>
      <c r="C68" s="7">
        <v>18.43</v>
      </c>
      <c r="D68" s="7">
        <v>3.83</v>
      </c>
      <c r="E68" s="7">
        <v>8.6999999999999993</v>
      </c>
      <c r="F68" s="7">
        <f>(E68/'Yearly GDP'!$B$7)*100</f>
        <v>713.11475409836055</v>
      </c>
      <c r="G68" s="15">
        <f t="shared" ref="G68:G131" si="8">1/C68</f>
        <v>5.4259359739555077E-2</v>
      </c>
      <c r="H68" s="14">
        <f t="shared" ref="H68:H131" si="9">G68/E68*(100)</f>
        <v>0.62367080160408139</v>
      </c>
      <c r="I68" s="7">
        <f t="shared" ref="I68:I131" si="10">_xlfn.PERCENTRANK.INC($C$3:$C$269,C68)</f>
        <v>0.251</v>
      </c>
      <c r="J68" s="7">
        <f t="shared" ref="J68:J131" si="11">_xlfn.PERCENTRANK.INC($D$3:$D$269,D68)</f>
        <v>0.68400000000000005</v>
      </c>
      <c r="K68" s="16">
        <f t="shared" ref="K68:K131" si="12">_xlfn.PERCENTRANK.INC($H$3:$H$269,H68)</f>
        <v>0.46899999999999997</v>
      </c>
      <c r="L68" s="16">
        <f t="shared" ref="L68:L131" si="13">_xlfn.PERCENTRANK.INC($F$3:$F$269,F68)</f>
        <v>0.77400000000000002</v>
      </c>
      <c r="M68" s="16">
        <f t="shared" ref="M68:M131" si="14">(I68*0.4)+(J68*0.2)+(K68*0.2)+((1-L68)*0.2)</f>
        <v>0.37620000000000003</v>
      </c>
      <c r="N68" s="7">
        <v>4360</v>
      </c>
      <c r="O68" s="7">
        <v>5471.8</v>
      </c>
      <c r="P68" s="13">
        <f t="shared" ref="P68:P131" si="15">(O68/N68)^(1/5)-1</f>
        <v>4.6474729017956795E-2</v>
      </c>
    </row>
    <row r="69" spans="1:16" x14ac:dyDescent="0.3">
      <c r="A69" s="6">
        <v>39692</v>
      </c>
      <c r="B69" s="7">
        <v>3921.2</v>
      </c>
      <c r="C69" s="7">
        <v>16.850000000000001</v>
      </c>
      <c r="D69" s="7">
        <v>3.26</v>
      </c>
      <c r="E69" s="7">
        <v>8.6170000000000009</v>
      </c>
      <c r="F69" s="7">
        <f>(E69/'Yearly GDP'!$B$7)*100</f>
        <v>706.31147540983613</v>
      </c>
      <c r="G69" s="15">
        <f t="shared" si="8"/>
        <v>5.9347181008902072E-2</v>
      </c>
      <c r="H69" s="14">
        <f t="shared" si="9"/>
        <v>0.68872207275040109</v>
      </c>
      <c r="I69" s="7">
        <f t="shared" si="10"/>
        <v>0.13900000000000001</v>
      </c>
      <c r="J69" s="7">
        <f t="shared" si="11"/>
        <v>0.27</v>
      </c>
      <c r="K69" s="16">
        <f t="shared" si="12"/>
        <v>0.73599999999999999</v>
      </c>
      <c r="L69" s="16">
        <f t="shared" si="13"/>
        <v>0.77</v>
      </c>
      <c r="M69" s="16">
        <f t="shared" si="14"/>
        <v>0.30280000000000001</v>
      </c>
      <c r="N69" s="7">
        <v>3921.2</v>
      </c>
      <c r="O69" s="7">
        <v>5735.3</v>
      </c>
      <c r="P69" s="13">
        <f t="shared" si="15"/>
        <v>7.9014868464056365E-2</v>
      </c>
    </row>
    <row r="70" spans="1:16" x14ac:dyDescent="0.3">
      <c r="A70" s="6">
        <v>39722</v>
      </c>
      <c r="B70" s="7">
        <v>2885.6</v>
      </c>
      <c r="C70" s="7">
        <v>12.57</v>
      </c>
      <c r="D70" s="7">
        <v>2.42</v>
      </c>
      <c r="E70" s="7">
        <v>7.4779999999999998</v>
      </c>
      <c r="F70" s="7">
        <f>(E70/'Yearly GDP'!$B$7)*100</f>
        <v>612.95081967213116</v>
      </c>
      <c r="G70" s="15">
        <f t="shared" si="8"/>
        <v>7.9554494828957836E-2</v>
      </c>
      <c r="H70" s="14">
        <f t="shared" si="9"/>
        <v>1.0638472162203509</v>
      </c>
      <c r="I70" s="7">
        <f t="shared" si="10"/>
        <v>1.0999999999999999E-2</v>
      </c>
      <c r="J70" s="7">
        <f t="shared" si="11"/>
        <v>2.1999999999999999E-2</v>
      </c>
      <c r="K70" s="16">
        <f t="shared" si="12"/>
        <v>0.93200000000000005</v>
      </c>
      <c r="L70" s="16">
        <f t="shared" si="13"/>
        <v>0.74</v>
      </c>
      <c r="M70" s="16">
        <f t="shared" si="14"/>
        <v>0.24720000000000003</v>
      </c>
      <c r="N70" s="7">
        <v>2885.6</v>
      </c>
      <c r="O70" s="7">
        <v>6299.15</v>
      </c>
      <c r="P70" s="13">
        <f t="shared" si="15"/>
        <v>0.16898560750160652</v>
      </c>
    </row>
    <row r="71" spans="1:16" x14ac:dyDescent="0.3">
      <c r="A71" s="6">
        <v>39753</v>
      </c>
      <c r="B71" s="7">
        <v>2755.1</v>
      </c>
      <c r="C71" s="7">
        <v>12.08</v>
      </c>
      <c r="D71" s="7">
        <v>2.3199999999999998</v>
      </c>
      <c r="E71" s="7">
        <v>7.08</v>
      </c>
      <c r="F71" s="7">
        <f>(E71/'Yearly GDP'!$B$7)*100</f>
        <v>580.32786885245901</v>
      </c>
      <c r="G71" s="15">
        <f t="shared" si="8"/>
        <v>8.2781456953642391E-2</v>
      </c>
      <c r="H71" s="14">
        <f t="shared" si="9"/>
        <v>1.1692296179892991</v>
      </c>
      <c r="I71" s="7">
        <f t="shared" si="10"/>
        <v>7.0000000000000001E-3</v>
      </c>
      <c r="J71" s="7">
        <f t="shared" si="11"/>
        <v>1.4999999999999999E-2</v>
      </c>
      <c r="K71" s="16">
        <f t="shared" si="12"/>
        <v>0.94699999999999995</v>
      </c>
      <c r="L71" s="16">
        <f t="shared" si="13"/>
        <v>0.68</v>
      </c>
      <c r="M71" s="16">
        <f t="shared" si="14"/>
        <v>0.25919999999999999</v>
      </c>
      <c r="N71" s="7">
        <v>2755.1</v>
      </c>
      <c r="O71" s="7">
        <v>6176.1</v>
      </c>
      <c r="P71" s="13">
        <f t="shared" si="15"/>
        <v>0.17520976250375875</v>
      </c>
    </row>
    <row r="72" spans="1:16" x14ac:dyDescent="0.3">
      <c r="A72" s="6">
        <v>39783</v>
      </c>
      <c r="B72" s="7">
        <v>2959.15</v>
      </c>
      <c r="C72" s="7">
        <v>12.97</v>
      </c>
      <c r="D72" s="7">
        <v>2.44</v>
      </c>
      <c r="E72" s="7">
        <v>5.26</v>
      </c>
      <c r="F72" s="7">
        <f>(E72/'Yearly GDP'!$B$7)*100</f>
        <v>431.14754098360652</v>
      </c>
      <c r="G72" s="15">
        <f t="shared" si="8"/>
        <v>7.7101002313030062E-2</v>
      </c>
      <c r="H72" s="14">
        <f t="shared" si="9"/>
        <v>1.4657985230614079</v>
      </c>
      <c r="I72" s="7">
        <f t="shared" si="10"/>
        <v>2.5999999999999999E-2</v>
      </c>
      <c r="J72" s="7">
        <f t="shared" si="11"/>
        <v>2.5999999999999999E-2</v>
      </c>
      <c r="K72" s="16">
        <f t="shared" si="12"/>
        <v>0.99199999999999999</v>
      </c>
      <c r="L72" s="16">
        <f t="shared" si="13"/>
        <v>0.48799999999999999</v>
      </c>
      <c r="M72" s="16">
        <f t="shared" si="14"/>
        <v>0.31640000000000001</v>
      </c>
      <c r="N72" s="7">
        <v>2959.15</v>
      </c>
      <c r="O72" s="7">
        <v>6304</v>
      </c>
      <c r="P72" s="13">
        <f t="shared" si="15"/>
        <v>0.16329495557402285</v>
      </c>
    </row>
    <row r="73" spans="1:16" x14ac:dyDescent="0.3">
      <c r="A73" s="6">
        <v>39814</v>
      </c>
      <c r="B73" s="7">
        <v>2874.8</v>
      </c>
      <c r="C73" s="7">
        <v>13.4</v>
      </c>
      <c r="D73" s="7">
        <v>2.39</v>
      </c>
      <c r="E73" s="7">
        <v>6.1870000000000003</v>
      </c>
      <c r="F73" s="7">
        <f>(E73/'Yearly GDP'!$B$8)*100</f>
        <v>515.58333333333337</v>
      </c>
      <c r="G73" s="15">
        <f t="shared" si="8"/>
        <v>7.4626865671641784E-2</v>
      </c>
      <c r="H73" s="14">
        <f t="shared" si="9"/>
        <v>1.2061882280853691</v>
      </c>
      <c r="I73" s="7">
        <f t="shared" si="10"/>
        <v>4.4999999999999998E-2</v>
      </c>
      <c r="J73" s="7">
        <f t="shared" si="11"/>
        <v>1.7999999999999999E-2</v>
      </c>
      <c r="K73" s="16">
        <f t="shared" si="12"/>
        <v>0.96199999999999997</v>
      </c>
      <c r="L73" s="16">
        <f t="shared" si="13"/>
        <v>0.64600000000000002</v>
      </c>
      <c r="M73" s="16">
        <f t="shared" si="14"/>
        <v>0.28480000000000005</v>
      </c>
      <c r="N73" s="7">
        <v>2874.8</v>
      </c>
      <c r="O73" s="7">
        <v>6089.5</v>
      </c>
      <c r="P73" s="13">
        <f t="shared" si="15"/>
        <v>0.16196969027237462</v>
      </c>
    </row>
    <row r="74" spans="1:16" x14ac:dyDescent="0.3">
      <c r="A74" s="6">
        <v>39845</v>
      </c>
      <c r="B74" s="7">
        <v>2763.65</v>
      </c>
      <c r="C74" s="7">
        <v>13.12</v>
      </c>
      <c r="D74" s="7">
        <v>2.29</v>
      </c>
      <c r="E74" s="7">
        <v>6.3280000000000003</v>
      </c>
      <c r="F74" s="7">
        <f>(E74/'Yearly GDP'!$B$8)*100</f>
        <v>527.33333333333337</v>
      </c>
      <c r="G74" s="15">
        <f t="shared" si="8"/>
        <v>7.621951219512195E-2</v>
      </c>
      <c r="H74" s="14">
        <f t="shared" si="9"/>
        <v>1.2044802812124202</v>
      </c>
      <c r="I74" s="7">
        <f t="shared" si="10"/>
        <v>0.03</v>
      </c>
      <c r="J74" s="7">
        <f t="shared" si="11"/>
        <v>1.0999999999999999E-2</v>
      </c>
      <c r="K74" s="16">
        <f t="shared" si="12"/>
        <v>0.95799999999999996</v>
      </c>
      <c r="L74" s="16">
        <f t="shared" si="13"/>
        <v>0.65700000000000003</v>
      </c>
      <c r="M74" s="16">
        <f t="shared" si="14"/>
        <v>0.27439999999999998</v>
      </c>
      <c r="N74" s="7">
        <v>2763.65</v>
      </c>
      <c r="O74" s="7">
        <v>6276.95</v>
      </c>
      <c r="P74" s="13">
        <f t="shared" si="15"/>
        <v>0.17829253318771165</v>
      </c>
    </row>
    <row r="75" spans="1:16" x14ac:dyDescent="0.3">
      <c r="A75" s="6">
        <v>39873</v>
      </c>
      <c r="B75" s="7">
        <v>3020.95</v>
      </c>
      <c r="C75" s="7">
        <v>14.29</v>
      </c>
      <c r="D75" s="7">
        <v>2.5</v>
      </c>
      <c r="E75" s="7">
        <v>7.0140000000000002</v>
      </c>
      <c r="F75" s="7">
        <f>(E75/'Yearly GDP'!$B$8)*100</f>
        <v>584.50000000000011</v>
      </c>
      <c r="G75" s="15">
        <f t="shared" si="8"/>
        <v>6.9979006298110574E-2</v>
      </c>
      <c r="H75" s="14">
        <f t="shared" si="9"/>
        <v>0.99770468061178463</v>
      </c>
      <c r="I75" s="7">
        <f t="shared" si="10"/>
        <v>6.7000000000000004E-2</v>
      </c>
      <c r="J75" s="7">
        <f t="shared" si="11"/>
        <v>3.6999999999999998E-2</v>
      </c>
      <c r="K75" s="16">
        <f t="shared" si="12"/>
        <v>0.89800000000000002</v>
      </c>
      <c r="L75" s="16">
        <f t="shared" si="13"/>
        <v>0.69499999999999995</v>
      </c>
      <c r="M75" s="16">
        <f t="shared" si="14"/>
        <v>0.27480000000000004</v>
      </c>
      <c r="N75" s="7">
        <v>3020.95</v>
      </c>
      <c r="O75" s="7">
        <v>6704.2</v>
      </c>
      <c r="P75" s="13">
        <f t="shared" si="15"/>
        <v>0.17284517324692539</v>
      </c>
    </row>
    <row r="76" spans="1:16" x14ac:dyDescent="0.3">
      <c r="A76" s="6">
        <v>39904</v>
      </c>
      <c r="B76" s="7">
        <v>3473.95</v>
      </c>
      <c r="C76" s="7">
        <v>16.53</v>
      </c>
      <c r="D76" s="7">
        <v>2.87</v>
      </c>
      <c r="E76" s="7">
        <v>6.242</v>
      </c>
      <c r="F76" s="7">
        <f>(E76/'Yearly GDP'!$B$8)*100</f>
        <v>520.16666666666674</v>
      </c>
      <c r="G76" s="15">
        <f t="shared" si="8"/>
        <v>6.0496067755595885E-2</v>
      </c>
      <c r="H76" s="14">
        <f t="shared" si="9"/>
        <v>0.96917763145780023</v>
      </c>
      <c r="I76" s="7">
        <f t="shared" si="10"/>
        <v>0.124</v>
      </c>
      <c r="J76" s="7">
        <f t="shared" si="11"/>
        <v>7.8E-2</v>
      </c>
      <c r="K76" s="16">
        <f t="shared" si="12"/>
        <v>0.88300000000000001</v>
      </c>
      <c r="L76" s="16">
        <f t="shared" si="13"/>
        <v>0.65400000000000003</v>
      </c>
      <c r="M76" s="16">
        <f t="shared" si="14"/>
        <v>0.311</v>
      </c>
      <c r="N76" s="7">
        <v>3473.95</v>
      </c>
      <c r="O76" s="7">
        <v>6696.4</v>
      </c>
      <c r="P76" s="13">
        <f t="shared" si="15"/>
        <v>0.14025914721951338</v>
      </c>
    </row>
    <row r="77" spans="1:16" x14ac:dyDescent="0.3">
      <c r="A77" s="6">
        <v>39934</v>
      </c>
      <c r="B77" s="7">
        <v>4448.95</v>
      </c>
      <c r="C77" s="7">
        <v>20.82</v>
      </c>
      <c r="D77" s="7">
        <v>3.63</v>
      </c>
      <c r="E77" s="7">
        <v>6.71</v>
      </c>
      <c r="F77" s="7">
        <f>(E77/'Yearly GDP'!$B$8)*100</f>
        <v>559.16666666666663</v>
      </c>
      <c r="G77" s="15">
        <f t="shared" si="8"/>
        <v>4.8030739673390971E-2</v>
      </c>
      <c r="H77" s="14">
        <f t="shared" si="9"/>
        <v>0.71580834088511136</v>
      </c>
      <c r="I77" s="7">
        <f t="shared" si="10"/>
        <v>0.44700000000000001</v>
      </c>
      <c r="J77" s="7">
        <f t="shared" si="11"/>
        <v>0.54500000000000004</v>
      </c>
      <c r="K77" s="16">
        <f t="shared" si="12"/>
        <v>0.77800000000000002</v>
      </c>
      <c r="L77" s="16">
        <f t="shared" si="13"/>
        <v>0.66500000000000004</v>
      </c>
      <c r="M77" s="16">
        <f t="shared" si="14"/>
        <v>0.51040000000000008</v>
      </c>
      <c r="N77" s="7">
        <v>4448.95</v>
      </c>
      <c r="O77" s="7">
        <v>7229.95</v>
      </c>
      <c r="P77" s="13">
        <f t="shared" si="15"/>
        <v>0.10198467207643236</v>
      </c>
    </row>
    <row r="78" spans="1:16" x14ac:dyDescent="0.3">
      <c r="A78" s="6">
        <v>39965</v>
      </c>
      <c r="B78" s="7">
        <v>4291.1000000000004</v>
      </c>
      <c r="C78" s="7">
        <v>19.97</v>
      </c>
      <c r="D78" s="7">
        <v>3.56</v>
      </c>
      <c r="E78" s="7">
        <v>7.0129999999999999</v>
      </c>
      <c r="F78" s="7">
        <f>(E78/'Yearly GDP'!$B$8)*100</f>
        <v>584.41666666666674</v>
      </c>
      <c r="G78" s="15">
        <f t="shared" si="8"/>
        <v>5.007511266900351E-2</v>
      </c>
      <c r="H78" s="14">
        <f t="shared" si="9"/>
        <v>0.71403269170117656</v>
      </c>
      <c r="I78" s="7">
        <f t="shared" si="10"/>
        <v>0.34499999999999997</v>
      </c>
      <c r="J78" s="7">
        <f t="shared" si="11"/>
        <v>0.503</v>
      </c>
      <c r="K78" s="16">
        <f t="shared" si="12"/>
        <v>0.77400000000000002</v>
      </c>
      <c r="L78" s="16">
        <f t="shared" si="13"/>
        <v>0.69099999999999995</v>
      </c>
      <c r="M78" s="16">
        <f t="shared" si="14"/>
        <v>0.45519999999999999</v>
      </c>
      <c r="N78" s="7">
        <v>4291.1000000000004</v>
      </c>
      <c r="O78" s="7">
        <v>7611.35</v>
      </c>
      <c r="P78" s="13">
        <f t="shared" si="15"/>
        <v>0.12144663336468997</v>
      </c>
    </row>
    <row r="79" spans="1:16" x14ac:dyDescent="0.3">
      <c r="A79" s="6">
        <v>39995</v>
      </c>
      <c r="B79" s="7">
        <v>4636.45</v>
      </c>
      <c r="C79" s="7">
        <v>20.68</v>
      </c>
      <c r="D79" s="7">
        <v>3.73</v>
      </c>
      <c r="E79" s="7">
        <v>6.9980000000000002</v>
      </c>
      <c r="F79" s="7">
        <f>(E79/'Yearly GDP'!$B$8)*100</f>
        <v>583.16666666666674</v>
      </c>
      <c r="G79" s="15">
        <f t="shared" si="8"/>
        <v>4.8355899419729211E-2</v>
      </c>
      <c r="H79" s="14">
        <f t="shared" si="9"/>
        <v>0.69099599056486438</v>
      </c>
      <c r="I79" s="7">
        <f t="shared" si="10"/>
        <v>0.42099999999999999</v>
      </c>
      <c r="J79" s="7">
        <f t="shared" si="11"/>
        <v>0.627</v>
      </c>
      <c r="K79" s="16">
        <f t="shared" si="12"/>
        <v>0.74</v>
      </c>
      <c r="L79" s="16">
        <f t="shared" si="13"/>
        <v>0.68700000000000006</v>
      </c>
      <c r="M79" s="16">
        <f t="shared" si="14"/>
        <v>0.50439999999999996</v>
      </c>
      <c r="N79" s="7">
        <v>4636.45</v>
      </c>
      <c r="O79" s="7">
        <v>7721.3</v>
      </c>
      <c r="P79" s="13">
        <f t="shared" si="15"/>
        <v>0.10739094801768889</v>
      </c>
    </row>
    <row r="80" spans="1:16" x14ac:dyDescent="0.3">
      <c r="A80" s="6">
        <v>40026</v>
      </c>
      <c r="B80" s="7">
        <v>4662.1000000000004</v>
      </c>
      <c r="C80" s="7">
        <v>20.94</v>
      </c>
      <c r="D80" s="7">
        <v>3.66</v>
      </c>
      <c r="E80" s="7">
        <v>7.4340000000000002</v>
      </c>
      <c r="F80" s="7">
        <f>(E80/'Yearly GDP'!$B$8)*100</f>
        <v>619.5</v>
      </c>
      <c r="G80" s="15">
        <f t="shared" si="8"/>
        <v>4.775549188156638E-2</v>
      </c>
      <c r="H80" s="14">
        <f t="shared" si="9"/>
        <v>0.64239294971168115</v>
      </c>
      <c r="I80" s="7">
        <f t="shared" si="10"/>
        <v>0.47299999999999998</v>
      </c>
      <c r="J80" s="7">
        <f t="shared" si="11"/>
        <v>0.57499999999999996</v>
      </c>
      <c r="K80" s="16">
        <f t="shared" si="12"/>
        <v>0.57099999999999995</v>
      </c>
      <c r="L80" s="16">
        <f t="shared" si="13"/>
        <v>0.748</v>
      </c>
      <c r="M80" s="16">
        <f t="shared" si="14"/>
        <v>0.46879999999999999</v>
      </c>
      <c r="N80" s="7">
        <v>4662.1000000000004</v>
      </c>
      <c r="O80" s="7">
        <v>7954.35</v>
      </c>
      <c r="P80" s="13">
        <f t="shared" si="15"/>
        <v>0.11276798527003185</v>
      </c>
    </row>
    <row r="81" spans="1:16" x14ac:dyDescent="0.3">
      <c r="A81" s="6">
        <v>40057</v>
      </c>
      <c r="B81" s="7">
        <v>5083.95</v>
      </c>
      <c r="C81" s="7">
        <v>22.9</v>
      </c>
      <c r="D81" s="7">
        <v>3.76</v>
      </c>
      <c r="E81" s="7">
        <v>7.2149999999999999</v>
      </c>
      <c r="F81" s="7">
        <f>(E81/'Yearly GDP'!$B$8)*100</f>
        <v>601.25</v>
      </c>
      <c r="G81" s="15">
        <f t="shared" si="8"/>
        <v>4.3668122270742363E-2</v>
      </c>
      <c r="H81" s="14">
        <f t="shared" si="9"/>
        <v>0.60524077991326908</v>
      </c>
      <c r="I81" s="7">
        <f t="shared" si="10"/>
        <v>0.70599999999999996</v>
      </c>
      <c r="J81" s="7">
        <f t="shared" si="11"/>
        <v>0.64200000000000002</v>
      </c>
      <c r="K81" s="16">
        <f t="shared" si="12"/>
        <v>0.372</v>
      </c>
      <c r="L81" s="16">
        <f t="shared" si="13"/>
        <v>0.71799999999999997</v>
      </c>
      <c r="M81" s="16">
        <f t="shared" si="14"/>
        <v>0.54160000000000008</v>
      </c>
      <c r="N81" s="7">
        <v>5083.95</v>
      </c>
      <c r="O81" s="7">
        <v>7964.8</v>
      </c>
      <c r="P81" s="13">
        <f t="shared" si="15"/>
        <v>9.3943068559376286E-2</v>
      </c>
    </row>
    <row r="82" spans="1:16" x14ac:dyDescent="0.3">
      <c r="A82" s="6">
        <v>40087</v>
      </c>
      <c r="B82" s="7">
        <v>4711.7</v>
      </c>
      <c r="C82" s="7">
        <v>20.45</v>
      </c>
      <c r="D82" s="7">
        <v>3.53</v>
      </c>
      <c r="E82" s="7">
        <v>7.306</v>
      </c>
      <c r="F82" s="7">
        <f>(E82/'Yearly GDP'!$B$8)*100</f>
        <v>608.83333333333337</v>
      </c>
      <c r="G82" s="15">
        <f t="shared" si="8"/>
        <v>4.8899755501222497E-2</v>
      </c>
      <c r="H82" s="14">
        <f t="shared" si="9"/>
        <v>0.669309546964447</v>
      </c>
      <c r="I82" s="7">
        <f t="shared" si="10"/>
        <v>0.38700000000000001</v>
      </c>
      <c r="J82" s="7">
        <f t="shared" si="11"/>
        <v>0.46600000000000003</v>
      </c>
      <c r="K82" s="16">
        <f t="shared" si="12"/>
        <v>0.68400000000000005</v>
      </c>
      <c r="L82" s="16">
        <f t="shared" si="13"/>
        <v>0.73599999999999999</v>
      </c>
      <c r="M82" s="16">
        <f t="shared" si="14"/>
        <v>0.43760000000000004</v>
      </c>
      <c r="N82" s="7">
        <v>4711.7</v>
      </c>
      <c r="O82" s="7">
        <v>8322.2000000000007</v>
      </c>
      <c r="P82" s="13">
        <f t="shared" si="15"/>
        <v>0.12050062626383951</v>
      </c>
    </row>
    <row r="83" spans="1:16" x14ac:dyDescent="0.3">
      <c r="A83" s="6">
        <v>40118</v>
      </c>
      <c r="B83" s="7">
        <v>5032.7</v>
      </c>
      <c r="C83" s="7">
        <v>22.37</v>
      </c>
      <c r="D83" s="7">
        <v>3.56</v>
      </c>
      <c r="E83" s="7">
        <v>7.2569999999999997</v>
      </c>
      <c r="F83" s="7">
        <f>(E83/'Yearly GDP'!$B$8)*100</f>
        <v>604.75</v>
      </c>
      <c r="G83" s="15">
        <f t="shared" si="8"/>
        <v>4.4702726866338846E-2</v>
      </c>
      <c r="H83" s="14">
        <f t="shared" si="9"/>
        <v>0.61599458269724194</v>
      </c>
      <c r="I83" s="7">
        <f t="shared" si="10"/>
        <v>0.65</v>
      </c>
      <c r="J83" s="7">
        <f t="shared" si="11"/>
        <v>0.503</v>
      </c>
      <c r="K83" s="16">
        <f t="shared" si="12"/>
        <v>0.42399999999999999</v>
      </c>
      <c r="L83" s="16">
        <f t="shared" si="13"/>
        <v>0.72899999999999998</v>
      </c>
      <c r="M83" s="16">
        <f t="shared" si="14"/>
        <v>0.49960000000000004</v>
      </c>
      <c r="N83" s="7">
        <v>5032.7</v>
      </c>
      <c r="O83" s="7">
        <v>8588.25</v>
      </c>
      <c r="P83" s="13">
        <f t="shared" si="15"/>
        <v>0.11280925017124765</v>
      </c>
    </row>
    <row r="84" spans="1:16" x14ac:dyDescent="0.3">
      <c r="A84" s="6">
        <v>40148</v>
      </c>
      <c r="B84" s="7">
        <v>5201.05</v>
      </c>
      <c r="C84" s="7">
        <v>23.17</v>
      </c>
      <c r="D84" s="7">
        <v>3.65</v>
      </c>
      <c r="E84" s="7">
        <v>7.6790000000000003</v>
      </c>
      <c r="F84" s="7">
        <f>(E84/'Yearly GDP'!$B$8)*100</f>
        <v>639.91666666666674</v>
      </c>
      <c r="G84" s="15">
        <f t="shared" si="8"/>
        <v>4.3159257660768231E-2</v>
      </c>
      <c r="H84" s="14">
        <f t="shared" si="9"/>
        <v>0.56204268343232489</v>
      </c>
      <c r="I84" s="7">
        <f t="shared" si="10"/>
        <v>0.72499999999999998</v>
      </c>
      <c r="J84" s="7">
        <f t="shared" si="11"/>
        <v>0.56000000000000005</v>
      </c>
      <c r="K84" s="16">
        <f t="shared" si="12"/>
        <v>0.191</v>
      </c>
      <c r="L84" s="16">
        <f t="shared" si="13"/>
        <v>0.755</v>
      </c>
      <c r="M84" s="16">
        <f t="shared" si="14"/>
        <v>0.48920000000000002</v>
      </c>
      <c r="N84" s="7">
        <v>5201.05</v>
      </c>
      <c r="O84" s="7">
        <v>8282.7000000000007</v>
      </c>
      <c r="P84" s="13">
        <f t="shared" si="15"/>
        <v>9.752944502106442E-2</v>
      </c>
    </row>
    <row r="85" spans="1:16" x14ac:dyDescent="0.3">
      <c r="A85" s="6">
        <v>40179</v>
      </c>
      <c r="B85" s="7">
        <v>4882.05</v>
      </c>
      <c r="C85" s="7">
        <v>21</v>
      </c>
      <c r="D85" s="7">
        <v>3.43</v>
      </c>
      <c r="E85" s="7">
        <v>7.5910000000000002</v>
      </c>
      <c r="F85" s="7">
        <f>(E85/'Yearly GDP'!$B$9)*100</f>
        <v>566.49253731343276</v>
      </c>
      <c r="G85" s="15">
        <f t="shared" si="8"/>
        <v>4.7619047619047616E-2</v>
      </c>
      <c r="H85" s="14">
        <f t="shared" si="9"/>
        <v>0.62730928229545002</v>
      </c>
      <c r="I85" s="7">
        <f t="shared" si="10"/>
        <v>0.47699999999999998</v>
      </c>
      <c r="J85" s="7">
        <f t="shared" si="11"/>
        <v>0.36</v>
      </c>
      <c r="K85" s="16">
        <f t="shared" si="12"/>
        <v>0.496</v>
      </c>
      <c r="L85" s="16">
        <f t="shared" si="13"/>
        <v>0.67600000000000005</v>
      </c>
      <c r="M85" s="16">
        <f t="shared" si="14"/>
        <v>0.42679999999999996</v>
      </c>
      <c r="N85" s="7">
        <v>4882.05</v>
      </c>
      <c r="O85" s="7">
        <v>8761.4</v>
      </c>
      <c r="P85" s="13">
        <f t="shared" si="15"/>
        <v>0.12407232915321864</v>
      </c>
    </row>
    <row r="86" spans="1:16" x14ac:dyDescent="0.3">
      <c r="A86" s="6">
        <v>40210</v>
      </c>
      <c r="B86" s="7">
        <v>4922.3</v>
      </c>
      <c r="C86" s="7">
        <v>20.92</v>
      </c>
      <c r="D86" s="7">
        <v>3.46</v>
      </c>
      <c r="E86" s="7">
        <v>7.8639999999999999</v>
      </c>
      <c r="F86" s="7">
        <f>(E86/'Yearly GDP'!$B$9)*100</f>
        <v>586.8656716417911</v>
      </c>
      <c r="G86" s="15">
        <f t="shared" si="8"/>
        <v>4.780114722753346E-2</v>
      </c>
      <c r="H86" s="14">
        <f t="shared" si="9"/>
        <v>0.60784775213038478</v>
      </c>
      <c r="I86" s="7">
        <f t="shared" si="10"/>
        <v>0.46600000000000003</v>
      </c>
      <c r="J86" s="7">
        <f t="shared" si="11"/>
        <v>0.39</v>
      </c>
      <c r="K86" s="16">
        <f t="shared" si="12"/>
        <v>0.38700000000000001</v>
      </c>
      <c r="L86" s="16">
        <f t="shared" si="13"/>
        <v>0.70599999999999996</v>
      </c>
      <c r="M86" s="16">
        <f t="shared" si="14"/>
        <v>0.40060000000000007</v>
      </c>
      <c r="N86" s="7">
        <v>4922.3</v>
      </c>
      <c r="O86" s="7">
        <v>8491</v>
      </c>
      <c r="P86" s="13">
        <f t="shared" si="15"/>
        <v>0.11521384483719355</v>
      </c>
    </row>
    <row r="87" spans="1:16" x14ac:dyDescent="0.3">
      <c r="A87" s="6">
        <v>40238</v>
      </c>
      <c r="B87" s="7">
        <v>5249.1</v>
      </c>
      <c r="C87" s="7">
        <v>22.33</v>
      </c>
      <c r="D87" s="7">
        <v>3.7</v>
      </c>
      <c r="E87" s="7">
        <v>7.85</v>
      </c>
      <c r="F87" s="7">
        <f>(E87/'Yearly GDP'!$B$9)*100</f>
        <v>585.82089552238801</v>
      </c>
      <c r="G87" s="15">
        <f t="shared" si="8"/>
        <v>4.4782803403493061E-2</v>
      </c>
      <c r="H87" s="14">
        <f t="shared" si="9"/>
        <v>0.57048157201901994</v>
      </c>
      <c r="I87" s="7">
        <f t="shared" si="10"/>
        <v>0.63900000000000001</v>
      </c>
      <c r="J87" s="7">
        <f t="shared" si="11"/>
        <v>0.60499999999999998</v>
      </c>
      <c r="K87" s="16">
        <f t="shared" si="12"/>
        <v>0.22500000000000001</v>
      </c>
      <c r="L87" s="16">
        <f t="shared" si="13"/>
        <v>0.69899999999999995</v>
      </c>
      <c r="M87" s="16">
        <f t="shared" si="14"/>
        <v>0.48180000000000001</v>
      </c>
      <c r="N87" s="7">
        <v>5249.1</v>
      </c>
      <c r="O87" s="7">
        <v>8181.5</v>
      </c>
      <c r="P87" s="13">
        <f t="shared" si="15"/>
        <v>9.2822473745772793E-2</v>
      </c>
    </row>
    <row r="88" spans="1:16" x14ac:dyDescent="0.3">
      <c r="A88" s="6">
        <v>40269</v>
      </c>
      <c r="B88" s="7">
        <v>5278</v>
      </c>
      <c r="C88" s="7">
        <v>22.29</v>
      </c>
      <c r="D88" s="7">
        <v>3.75</v>
      </c>
      <c r="E88" s="7">
        <v>8.0609999999999999</v>
      </c>
      <c r="F88" s="7">
        <f>(E88/'Yearly GDP'!$B$9)*100</f>
        <v>601.56716417910445</v>
      </c>
      <c r="G88" s="15">
        <f t="shared" si="8"/>
        <v>4.4863167339614179E-2</v>
      </c>
      <c r="H88" s="14">
        <f t="shared" si="9"/>
        <v>0.55654592903627564</v>
      </c>
      <c r="I88" s="7">
        <f t="shared" si="10"/>
        <v>0.627</v>
      </c>
      <c r="J88" s="7">
        <f t="shared" si="11"/>
        <v>0.63500000000000001</v>
      </c>
      <c r="K88" s="16">
        <f t="shared" si="12"/>
        <v>0.16900000000000001</v>
      </c>
      <c r="L88" s="16">
        <f t="shared" si="13"/>
        <v>0.72099999999999997</v>
      </c>
      <c r="M88" s="16">
        <f t="shared" si="14"/>
        <v>0.46740000000000004</v>
      </c>
      <c r="N88" s="7">
        <v>5278</v>
      </c>
      <c r="O88" s="7">
        <v>8433.65</v>
      </c>
      <c r="P88" s="13">
        <f t="shared" si="15"/>
        <v>9.8270295477992819E-2</v>
      </c>
    </row>
    <row r="89" spans="1:16" x14ac:dyDescent="0.3">
      <c r="A89" s="6">
        <v>40299</v>
      </c>
      <c r="B89" s="7">
        <v>5086.3</v>
      </c>
      <c r="C89" s="7">
        <v>21.3</v>
      </c>
      <c r="D89" s="7">
        <v>3.61</v>
      </c>
      <c r="E89" s="7">
        <v>7.5640000000000001</v>
      </c>
      <c r="F89" s="7">
        <f>(E89/'Yearly GDP'!$B$9)*100</f>
        <v>564.47761194029852</v>
      </c>
      <c r="G89" s="15">
        <f t="shared" si="8"/>
        <v>4.6948356807511735E-2</v>
      </c>
      <c r="H89" s="14">
        <f t="shared" si="9"/>
        <v>0.62068160771432757</v>
      </c>
      <c r="I89" s="7">
        <f t="shared" si="10"/>
        <v>0.503</v>
      </c>
      <c r="J89" s="7">
        <f t="shared" si="11"/>
        <v>0.52600000000000002</v>
      </c>
      <c r="K89" s="16">
        <f t="shared" si="12"/>
        <v>0.443</v>
      </c>
      <c r="L89" s="16">
        <f t="shared" si="13"/>
        <v>0.67200000000000004</v>
      </c>
      <c r="M89" s="16">
        <f t="shared" si="14"/>
        <v>0.46060000000000001</v>
      </c>
      <c r="N89" s="7">
        <v>5086.3</v>
      </c>
      <c r="O89" s="7">
        <v>8368.5</v>
      </c>
      <c r="P89" s="13">
        <f t="shared" si="15"/>
        <v>0.10471214774137039</v>
      </c>
    </row>
    <row r="90" spans="1:16" x14ac:dyDescent="0.3">
      <c r="A90" s="6">
        <v>40330</v>
      </c>
      <c r="B90" s="7">
        <v>5312.5</v>
      </c>
      <c r="C90" s="7">
        <v>22.25</v>
      </c>
      <c r="D90" s="7">
        <v>3.78</v>
      </c>
      <c r="E90" s="7">
        <v>7.5609999999999999</v>
      </c>
      <c r="F90" s="7">
        <f>(E90/'Yearly GDP'!$B$9)*100</f>
        <v>564.25373134328356</v>
      </c>
      <c r="G90" s="15">
        <f t="shared" si="8"/>
        <v>4.49438202247191E-2</v>
      </c>
      <c r="H90" s="14">
        <f t="shared" si="9"/>
        <v>0.59441635001612347</v>
      </c>
      <c r="I90" s="7">
        <f t="shared" si="10"/>
        <v>0.61599999999999999</v>
      </c>
      <c r="J90" s="7">
        <f t="shared" si="11"/>
        <v>0.65400000000000003</v>
      </c>
      <c r="K90" s="16">
        <f t="shared" si="12"/>
        <v>0.308</v>
      </c>
      <c r="L90" s="16">
        <f t="shared" si="13"/>
        <v>0.66900000000000004</v>
      </c>
      <c r="M90" s="16">
        <f t="shared" si="14"/>
        <v>0.505</v>
      </c>
      <c r="N90" s="7">
        <v>5312.5</v>
      </c>
      <c r="O90" s="7">
        <v>8532.85</v>
      </c>
      <c r="P90" s="13">
        <f t="shared" si="15"/>
        <v>9.9408356376699425E-2</v>
      </c>
    </row>
    <row r="91" spans="1:16" x14ac:dyDescent="0.3">
      <c r="A91" s="6">
        <v>40360</v>
      </c>
      <c r="B91" s="7">
        <v>5367.6</v>
      </c>
      <c r="C91" s="7">
        <v>22.31</v>
      </c>
      <c r="D91" s="7">
        <v>3.78</v>
      </c>
      <c r="E91" s="7">
        <v>7.8029999999999999</v>
      </c>
      <c r="F91" s="7">
        <f>(E91/'Yearly GDP'!$B$9)*100</f>
        <v>582.31343283582089</v>
      </c>
      <c r="G91" s="15">
        <f t="shared" si="8"/>
        <v>4.482294935006724E-2</v>
      </c>
      <c r="H91" s="14">
        <f t="shared" si="9"/>
        <v>0.57443226131061431</v>
      </c>
      <c r="I91" s="7">
        <f t="shared" si="10"/>
        <v>0.63100000000000001</v>
      </c>
      <c r="J91" s="7">
        <f t="shared" si="11"/>
        <v>0.65400000000000003</v>
      </c>
      <c r="K91" s="16">
        <f t="shared" si="12"/>
        <v>0.23599999999999999</v>
      </c>
      <c r="L91" s="16">
        <f t="shared" si="13"/>
        <v>0.68400000000000005</v>
      </c>
      <c r="M91" s="16">
        <f t="shared" si="14"/>
        <v>0.49359999999999998</v>
      </c>
      <c r="N91" s="7">
        <v>5367.6</v>
      </c>
      <c r="O91" s="7">
        <v>7971.3</v>
      </c>
      <c r="P91" s="13">
        <f t="shared" si="15"/>
        <v>8.2305341884524097E-2</v>
      </c>
    </row>
    <row r="92" spans="1:16" x14ac:dyDescent="0.3">
      <c r="A92" s="6">
        <v>40391</v>
      </c>
      <c r="B92" s="7">
        <v>5402.4</v>
      </c>
      <c r="C92" s="7">
        <v>22.73</v>
      </c>
      <c r="D92" s="7">
        <v>3.54</v>
      </c>
      <c r="E92" s="7">
        <v>7.9359999999999999</v>
      </c>
      <c r="F92" s="7">
        <f>(E92/'Yearly GDP'!$B$9)*100</f>
        <v>592.2388059701492</v>
      </c>
      <c r="G92" s="15">
        <f t="shared" si="8"/>
        <v>4.3994720633523977E-2</v>
      </c>
      <c r="H92" s="14">
        <f t="shared" si="9"/>
        <v>0.55436895959581622</v>
      </c>
      <c r="I92" s="7">
        <f t="shared" si="10"/>
        <v>0.68700000000000006</v>
      </c>
      <c r="J92" s="7">
        <f t="shared" si="11"/>
        <v>0.48399999999999999</v>
      </c>
      <c r="K92" s="16">
        <f t="shared" si="12"/>
        <v>0.16500000000000001</v>
      </c>
      <c r="L92" s="16">
        <f t="shared" si="13"/>
        <v>0.71399999999999997</v>
      </c>
      <c r="M92" s="16">
        <f t="shared" si="14"/>
        <v>0.4618000000000001</v>
      </c>
      <c r="N92" s="7">
        <v>5402.4</v>
      </c>
      <c r="O92" s="7">
        <v>7948.9</v>
      </c>
      <c r="P92" s="13">
        <f t="shared" si="15"/>
        <v>8.0299212100890527E-2</v>
      </c>
    </row>
    <row r="93" spans="1:16" x14ac:dyDescent="0.3">
      <c r="A93" s="6">
        <v>40422</v>
      </c>
      <c r="B93" s="7">
        <v>6029.95</v>
      </c>
      <c r="C93" s="7">
        <v>25.46</v>
      </c>
      <c r="D93" s="7">
        <v>3.82</v>
      </c>
      <c r="E93" s="7">
        <v>7.8520000000000003</v>
      </c>
      <c r="F93" s="7">
        <f>(E93/'Yearly GDP'!$B$9)*100</f>
        <v>585.97014925373139</v>
      </c>
      <c r="G93" s="15">
        <f t="shared" si="8"/>
        <v>3.927729772191673E-2</v>
      </c>
      <c r="H93" s="14">
        <f t="shared" si="9"/>
        <v>0.50022029701880699</v>
      </c>
      <c r="I93" s="7">
        <f t="shared" si="10"/>
        <v>0.81899999999999995</v>
      </c>
      <c r="J93" s="7">
        <f t="shared" si="11"/>
        <v>0.67600000000000005</v>
      </c>
      <c r="K93" s="16">
        <f t="shared" si="12"/>
        <v>7.0999999999999994E-2</v>
      </c>
      <c r="L93" s="16">
        <f t="shared" si="13"/>
        <v>0.70299999999999996</v>
      </c>
      <c r="M93" s="16">
        <f t="shared" si="14"/>
        <v>0.53639999999999999</v>
      </c>
      <c r="N93" s="7">
        <v>6029.95</v>
      </c>
      <c r="O93" s="7">
        <v>8065.8</v>
      </c>
      <c r="P93" s="13">
        <f t="shared" si="15"/>
        <v>5.9904528245882993E-2</v>
      </c>
    </row>
    <row r="94" spans="1:16" x14ac:dyDescent="0.3">
      <c r="A94" s="6">
        <v>40452</v>
      </c>
      <c r="B94" s="7">
        <v>6017.7</v>
      </c>
      <c r="C94" s="7">
        <v>24.71</v>
      </c>
      <c r="D94" s="7">
        <v>3.78</v>
      </c>
      <c r="E94" s="7">
        <v>8.1210000000000004</v>
      </c>
      <c r="F94" s="7">
        <f>(E94/'Yearly GDP'!$B$9)*100</f>
        <v>606.04477611940297</v>
      </c>
      <c r="G94" s="15">
        <f t="shared" si="8"/>
        <v>4.0469445568595712E-2</v>
      </c>
      <c r="H94" s="14">
        <f t="shared" si="9"/>
        <v>0.49833081601521623</v>
      </c>
      <c r="I94" s="7">
        <f t="shared" si="10"/>
        <v>0.80400000000000005</v>
      </c>
      <c r="J94" s="7">
        <f t="shared" si="11"/>
        <v>0.65400000000000003</v>
      </c>
      <c r="K94" s="16">
        <f t="shared" si="12"/>
        <v>6.3E-2</v>
      </c>
      <c r="L94" s="16">
        <f t="shared" si="13"/>
        <v>0.73299999999999998</v>
      </c>
      <c r="M94" s="16">
        <f t="shared" si="14"/>
        <v>0.51839999999999997</v>
      </c>
      <c r="N94" s="7">
        <v>6017.7</v>
      </c>
      <c r="O94" s="7">
        <v>7935.25</v>
      </c>
      <c r="P94" s="13">
        <f t="shared" si="15"/>
        <v>5.6880819084806244E-2</v>
      </c>
    </row>
    <row r="95" spans="1:16" x14ac:dyDescent="0.3">
      <c r="A95" s="6">
        <v>40483</v>
      </c>
      <c r="B95" s="7">
        <v>5862.7</v>
      </c>
      <c r="C95" s="7">
        <v>23.39</v>
      </c>
      <c r="D95" s="7">
        <v>3.69</v>
      </c>
      <c r="E95" s="7">
        <v>8.0660000000000007</v>
      </c>
      <c r="F95" s="7">
        <f>(E95/'Yearly GDP'!$B$9)*100</f>
        <v>601.94029850746267</v>
      </c>
      <c r="G95" s="15">
        <f t="shared" si="8"/>
        <v>4.2753313381787089E-2</v>
      </c>
      <c r="H95" s="14">
        <f t="shared" si="9"/>
        <v>0.53004355791950275</v>
      </c>
      <c r="I95" s="7">
        <f t="shared" si="10"/>
        <v>0.74399999999999999</v>
      </c>
      <c r="J95" s="7">
        <f t="shared" si="11"/>
        <v>0.59</v>
      </c>
      <c r="K95" s="16">
        <f t="shared" si="12"/>
        <v>0.12</v>
      </c>
      <c r="L95" s="16">
        <f t="shared" si="13"/>
        <v>0.72499999999999998</v>
      </c>
      <c r="M95" s="16">
        <f t="shared" si="14"/>
        <v>0.49460000000000004</v>
      </c>
      <c r="N95" s="7">
        <v>5862.7</v>
      </c>
      <c r="O95" s="7">
        <v>7946.35</v>
      </c>
      <c r="P95" s="13">
        <f t="shared" si="15"/>
        <v>6.2708131477846152E-2</v>
      </c>
    </row>
    <row r="96" spans="1:16" x14ac:dyDescent="0.3">
      <c r="A96" s="6">
        <v>40513</v>
      </c>
      <c r="B96" s="7">
        <v>6134.5</v>
      </c>
      <c r="C96" s="7">
        <v>24.48</v>
      </c>
      <c r="D96" s="7">
        <v>3.87</v>
      </c>
      <c r="E96" s="7">
        <v>7.9130000000000003</v>
      </c>
      <c r="F96" s="7">
        <f>(E96/'Yearly GDP'!$B$9)*100</f>
        <v>590.52238805970148</v>
      </c>
      <c r="G96" s="15">
        <f t="shared" si="8"/>
        <v>4.084967320261438E-2</v>
      </c>
      <c r="H96" s="14">
        <f t="shared" si="9"/>
        <v>0.5162349703350736</v>
      </c>
      <c r="I96" s="7">
        <f t="shared" si="10"/>
        <v>0.79600000000000004</v>
      </c>
      <c r="J96" s="7">
        <f t="shared" si="11"/>
        <v>0.69899999999999995</v>
      </c>
      <c r="K96" s="16">
        <f t="shared" si="12"/>
        <v>0.112</v>
      </c>
      <c r="L96" s="16">
        <f t="shared" si="13"/>
        <v>0.71</v>
      </c>
      <c r="M96" s="16">
        <f t="shared" si="14"/>
        <v>0.53860000000000008</v>
      </c>
      <c r="N96" s="7">
        <v>6134.5</v>
      </c>
      <c r="O96" s="7">
        <v>7563.55</v>
      </c>
      <c r="P96" s="13">
        <f t="shared" si="15"/>
        <v>4.2771858557037135E-2</v>
      </c>
    </row>
    <row r="97" spans="1:16" x14ac:dyDescent="0.3">
      <c r="A97" s="6">
        <v>40544</v>
      </c>
      <c r="B97" s="7">
        <v>5505.9</v>
      </c>
      <c r="C97" s="7">
        <v>21.06</v>
      </c>
      <c r="D97" s="7">
        <v>3.47</v>
      </c>
      <c r="E97" s="7">
        <v>8.1479999999999997</v>
      </c>
      <c r="F97" s="7">
        <f>(E97/'Yearly GDP'!$B$10)*100</f>
        <v>484.99999999999994</v>
      </c>
      <c r="G97" s="15">
        <f t="shared" si="8"/>
        <v>4.7483380816714153E-2</v>
      </c>
      <c r="H97" s="14">
        <f t="shared" si="9"/>
        <v>0.58276117840837205</v>
      </c>
      <c r="I97" s="7">
        <f t="shared" si="10"/>
        <v>0.48099999999999998</v>
      </c>
      <c r="J97" s="7">
        <f t="shared" si="11"/>
        <v>0.39800000000000002</v>
      </c>
      <c r="K97" s="16">
        <f t="shared" si="12"/>
        <v>0.25900000000000001</v>
      </c>
      <c r="L97" s="16">
        <f t="shared" si="13"/>
        <v>0.61599999999999999</v>
      </c>
      <c r="M97" s="16">
        <f t="shared" si="14"/>
        <v>0.40060000000000007</v>
      </c>
      <c r="N97" s="7">
        <v>5505.9</v>
      </c>
      <c r="O97" s="7">
        <v>6987.05</v>
      </c>
      <c r="P97" s="13">
        <f t="shared" si="15"/>
        <v>4.8801032817777257E-2</v>
      </c>
    </row>
    <row r="98" spans="1:16" x14ac:dyDescent="0.3">
      <c r="A98" s="6">
        <v>40575</v>
      </c>
      <c r="B98" s="7">
        <v>5333.25</v>
      </c>
      <c r="C98" s="7">
        <v>20.420000000000002</v>
      </c>
      <c r="D98" s="7">
        <v>3.38</v>
      </c>
      <c r="E98" s="7">
        <v>7.992</v>
      </c>
      <c r="F98" s="7">
        <f>(E98/'Yearly GDP'!$B$10)*100</f>
        <v>475.71428571428572</v>
      </c>
      <c r="G98" s="15">
        <f t="shared" si="8"/>
        <v>4.8971596474045052E-2</v>
      </c>
      <c r="H98" s="14">
        <f t="shared" si="9"/>
        <v>0.61275771363920239</v>
      </c>
      <c r="I98" s="7">
        <f t="shared" si="10"/>
        <v>0.375</v>
      </c>
      <c r="J98" s="7">
        <f t="shared" si="11"/>
        <v>0.33</v>
      </c>
      <c r="K98" s="16">
        <f t="shared" si="12"/>
        <v>0.40899999999999997</v>
      </c>
      <c r="L98" s="16">
        <f t="shared" si="13"/>
        <v>0.59299999999999997</v>
      </c>
      <c r="M98" s="16">
        <f t="shared" si="14"/>
        <v>0.37920000000000004</v>
      </c>
      <c r="N98" s="7">
        <v>5333.25</v>
      </c>
      <c r="O98" s="7">
        <v>7738.4</v>
      </c>
      <c r="P98" s="13">
        <f t="shared" si="15"/>
        <v>7.7288060317201923E-2</v>
      </c>
    </row>
    <row r="99" spans="1:16" x14ac:dyDescent="0.3">
      <c r="A99" s="6">
        <v>40603</v>
      </c>
      <c r="B99" s="7">
        <v>5833.75</v>
      </c>
      <c r="C99" s="7">
        <v>22.14</v>
      </c>
      <c r="D99" s="7">
        <v>3.7</v>
      </c>
      <c r="E99" s="7">
        <v>7.9850000000000003</v>
      </c>
      <c r="F99" s="7">
        <f>(E99/'Yearly GDP'!$B$10)*100</f>
        <v>475.29761904761909</v>
      </c>
      <c r="G99" s="15">
        <f t="shared" si="8"/>
        <v>4.5167118337850046E-2</v>
      </c>
      <c r="H99" s="14">
        <f t="shared" si="9"/>
        <v>0.56564957217094602</v>
      </c>
      <c r="I99" s="7">
        <f t="shared" si="10"/>
        <v>0.59699999999999998</v>
      </c>
      <c r="J99" s="7">
        <f t="shared" si="11"/>
        <v>0.60499999999999998</v>
      </c>
      <c r="K99" s="16">
        <f t="shared" si="12"/>
        <v>0.20599999999999999</v>
      </c>
      <c r="L99" s="16">
        <f t="shared" si="13"/>
        <v>0.59</v>
      </c>
      <c r="M99" s="16">
        <f t="shared" si="14"/>
        <v>0.48300000000000004</v>
      </c>
      <c r="N99" s="7">
        <v>5833.75</v>
      </c>
      <c r="O99" s="7">
        <v>7849.8</v>
      </c>
      <c r="P99" s="13">
        <f t="shared" si="15"/>
        <v>6.1163138600401457E-2</v>
      </c>
    </row>
    <row r="100" spans="1:16" x14ac:dyDescent="0.3">
      <c r="A100" s="6">
        <v>40634</v>
      </c>
      <c r="B100" s="7">
        <v>5749.5</v>
      </c>
      <c r="C100" s="7">
        <v>21.36</v>
      </c>
      <c r="D100" s="7">
        <v>3.65</v>
      </c>
      <c r="E100" s="7">
        <v>8.1349999999999998</v>
      </c>
      <c r="F100" s="7">
        <f>(E100/'Yearly GDP'!$B$10)*100</f>
        <v>484.22619047619048</v>
      </c>
      <c r="G100" s="15">
        <f t="shared" si="8"/>
        <v>4.6816479400749067E-2</v>
      </c>
      <c r="H100" s="14">
        <f t="shared" si="9"/>
        <v>0.57549452244313548</v>
      </c>
      <c r="I100" s="7">
        <f t="shared" si="10"/>
        <v>0.51100000000000001</v>
      </c>
      <c r="J100" s="7">
        <f t="shared" si="11"/>
        <v>0.56000000000000005</v>
      </c>
      <c r="K100" s="16">
        <f t="shared" si="12"/>
        <v>0.24</v>
      </c>
      <c r="L100" s="16">
        <f t="shared" si="13"/>
        <v>0.61199999999999999</v>
      </c>
      <c r="M100" s="16">
        <f t="shared" si="14"/>
        <v>0.442</v>
      </c>
      <c r="N100" s="7">
        <v>5749.5</v>
      </c>
      <c r="O100" s="7">
        <v>8160.1</v>
      </c>
      <c r="P100" s="13">
        <f t="shared" si="15"/>
        <v>7.2538968965015105E-2</v>
      </c>
    </row>
    <row r="101" spans="1:16" x14ac:dyDescent="0.3">
      <c r="A101" s="6">
        <v>40664</v>
      </c>
      <c r="B101" s="7">
        <v>5560.15</v>
      </c>
      <c r="C101" s="7">
        <v>20.53</v>
      </c>
      <c r="D101" s="7">
        <v>3.45</v>
      </c>
      <c r="E101" s="7">
        <v>8.4109999999999996</v>
      </c>
      <c r="F101" s="7">
        <f>(E101/'Yearly GDP'!$B$10)*100</f>
        <v>500.65476190476187</v>
      </c>
      <c r="G101" s="15">
        <f t="shared" si="8"/>
        <v>4.8709206039941548E-2</v>
      </c>
      <c r="H101" s="14">
        <f t="shared" si="9"/>
        <v>0.5791131380328326</v>
      </c>
      <c r="I101" s="7">
        <f t="shared" si="10"/>
        <v>0.39800000000000002</v>
      </c>
      <c r="J101" s="7">
        <f t="shared" si="11"/>
        <v>0.375</v>
      </c>
      <c r="K101" s="16">
        <f t="shared" si="12"/>
        <v>0.251</v>
      </c>
      <c r="L101" s="16">
        <f t="shared" si="13"/>
        <v>0.63100000000000001</v>
      </c>
      <c r="M101" s="16">
        <f t="shared" si="14"/>
        <v>0.35820000000000007</v>
      </c>
      <c r="N101" s="7">
        <v>5560.15</v>
      </c>
      <c r="O101" s="7">
        <v>8287.75</v>
      </c>
      <c r="P101" s="13">
        <f t="shared" si="15"/>
        <v>8.3103668543007769E-2</v>
      </c>
    </row>
    <row r="102" spans="1:16" x14ac:dyDescent="0.3">
      <c r="A102" s="6">
        <v>40695</v>
      </c>
      <c r="B102" s="7">
        <v>5647.4</v>
      </c>
      <c r="C102" s="7">
        <v>20.82</v>
      </c>
      <c r="D102" s="7">
        <v>3.5</v>
      </c>
      <c r="E102" s="7">
        <v>8.3260000000000005</v>
      </c>
      <c r="F102" s="7">
        <f>(E102/'Yearly GDP'!$B$10)*100</f>
        <v>495.59523809523813</v>
      </c>
      <c r="G102" s="15">
        <f t="shared" si="8"/>
        <v>4.8030739673390971E-2</v>
      </c>
      <c r="H102" s="14">
        <f t="shared" si="9"/>
        <v>0.57687652742482542</v>
      </c>
      <c r="I102" s="7">
        <f t="shared" si="10"/>
        <v>0.44700000000000001</v>
      </c>
      <c r="J102" s="7">
        <f t="shared" si="11"/>
        <v>0.436</v>
      </c>
      <c r="K102" s="16">
        <f t="shared" si="12"/>
        <v>0.248</v>
      </c>
      <c r="L102" s="16">
        <f t="shared" si="13"/>
        <v>0.627</v>
      </c>
      <c r="M102" s="16">
        <f t="shared" si="14"/>
        <v>0.39019999999999999</v>
      </c>
      <c r="N102" s="7">
        <v>5647.4</v>
      </c>
      <c r="O102" s="7">
        <v>8638.5</v>
      </c>
      <c r="P102" s="13">
        <f t="shared" si="15"/>
        <v>8.8724403452306033E-2</v>
      </c>
    </row>
    <row r="103" spans="1:16" x14ac:dyDescent="0.3">
      <c r="A103" s="6">
        <v>40725</v>
      </c>
      <c r="B103" s="7">
        <v>5482</v>
      </c>
      <c r="C103" s="7">
        <v>19.760000000000002</v>
      </c>
      <c r="D103" s="7">
        <v>3.4</v>
      </c>
      <c r="E103" s="7">
        <v>8.4540000000000006</v>
      </c>
      <c r="F103" s="7">
        <f>(E103/'Yearly GDP'!$B$10)*100</f>
        <v>503.21428571428572</v>
      </c>
      <c r="G103" s="15">
        <f t="shared" si="8"/>
        <v>5.0607287449392711E-2</v>
      </c>
      <c r="H103" s="14">
        <f t="shared" si="9"/>
        <v>0.59861943990291822</v>
      </c>
      <c r="I103" s="7">
        <f t="shared" si="10"/>
        <v>0.33</v>
      </c>
      <c r="J103" s="7">
        <f t="shared" si="11"/>
        <v>0.34499999999999997</v>
      </c>
      <c r="K103" s="16">
        <f t="shared" si="12"/>
        <v>0.33400000000000002</v>
      </c>
      <c r="L103" s="16">
        <f t="shared" si="13"/>
        <v>0.63900000000000001</v>
      </c>
      <c r="M103" s="16">
        <f t="shared" si="14"/>
        <v>0.34</v>
      </c>
      <c r="N103" s="7">
        <v>5482</v>
      </c>
      <c r="O103" s="7">
        <v>8786.2000000000007</v>
      </c>
      <c r="P103" s="13">
        <f t="shared" si="15"/>
        <v>9.8936025509988479E-2</v>
      </c>
    </row>
    <row r="104" spans="1:16" x14ac:dyDescent="0.3">
      <c r="A104" s="6">
        <v>40756</v>
      </c>
      <c r="B104" s="7">
        <v>5001</v>
      </c>
      <c r="C104" s="7">
        <v>18.05</v>
      </c>
      <c r="D104" s="7">
        <v>2.95</v>
      </c>
      <c r="E104" s="7">
        <v>8.3190000000000008</v>
      </c>
      <c r="F104" s="7">
        <f>(E104/'Yearly GDP'!$B$10)*100</f>
        <v>495.1785714285715</v>
      </c>
      <c r="G104" s="15">
        <f t="shared" si="8"/>
        <v>5.5401662049861494E-2</v>
      </c>
      <c r="H104" s="14">
        <f t="shared" si="9"/>
        <v>0.66596540509510138</v>
      </c>
      <c r="I104" s="7">
        <f t="shared" si="10"/>
        <v>0.221</v>
      </c>
      <c r="J104" s="7">
        <f t="shared" si="11"/>
        <v>0.112</v>
      </c>
      <c r="K104" s="16">
        <f t="shared" si="12"/>
        <v>0.66900000000000004</v>
      </c>
      <c r="L104" s="16">
        <f t="shared" si="13"/>
        <v>0.624</v>
      </c>
      <c r="M104" s="16">
        <f t="shared" si="14"/>
        <v>0.31980000000000003</v>
      </c>
      <c r="N104" s="7">
        <v>5001</v>
      </c>
      <c r="O104" s="7">
        <v>8611.15</v>
      </c>
      <c r="P104" s="13">
        <f t="shared" si="15"/>
        <v>0.11481001085460707</v>
      </c>
    </row>
    <row r="105" spans="1:16" x14ac:dyDescent="0.3">
      <c r="A105" s="6">
        <v>40787</v>
      </c>
      <c r="B105" s="7">
        <v>4943.25</v>
      </c>
      <c r="C105" s="7">
        <v>17.850000000000001</v>
      </c>
      <c r="D105" s="7">
        <v>2.92</v>
      </c>
      <c r="E105" s="7">
        <v>8.4420000000000002</v>
      </c>
      <c r="F105" s="7">
        <f>(E105/'Yearly GDP'!$B$10)*100</f>
        <v>502.50000000000006</v>
      </c>
      <c r="G105" s="15">
        <f t="shared" si="8"/>
        <v>5.6022408963585429E-2</v>
      </c>
      <c r="H105" s="14">
        <f t="shared" si="9"/>
        <v>0.6636153632265509</v>
      </c>
      <c r="I105" s="7">
        <f t="shared" si="10"/>
        <v>0.20300000000000001</v>
      </c>
      <c r="J105" s="7">
        <f t="shared" si="11"/>
        <v>9.7000000000000003E-2</v>
      </c>
      <c r="K105" s="16">
        <f t="shared" si="12"/>
        <v>0.65</v>
      </c>
      <c r="L105" s="16">
        <f t="shared" si="13"/>
        <v>0.63500000000000001</v>
      </c>
      <c r="M105" s="16">
        <f t="shared" si="14"/>
        <v>0.30360000000000004</v>
      </c>
      <c r="N105" s="7">
        <v>4943.25</v>
      </c>
      <c r="O105" s="7">
        <v>8625.7000000000007</v>
      </c>
      <c r="P105" s="13">
        <f t="shared" si="15"/>
        <v>0.11778005195459973</v>
      </c>
    </row>
    <row r="106" spans="1:16" x14ac:dyDescent="0.3">
      <c r="A106" s="6">
        <v>40817</v>
      </c>
      <c r="B106" s="7">
        <v>5326.6</v>
      </c>
      <c r="C106" s="7">
        <v>18.899999999999999</v>
      </c>
      <c r="D106" s="7">
        <v>3.19</v>
      </c>
      <c r="E106" s="7">
        <v>8.8789999999999996</v>
      </c>
      <c r="F106" s="7">
        <f>(E106/'Yearly GDP'!$B$10)*100</f>
        <v>528.5119047619047</v>
      </c>
      <c r="G106" s="15">
        <f t="shared" si="8"/>
        <v>5.2910052910052914E-2</v>
      </c>
      <c r="H106" s="14">
        <f t="shared" si="9"/>
        <v>0.59590103513968817</v>
      </c>
      <c r="I106" s="7">
        <f t="shared" si="10"/>
        <v>0.29299999999999998</v>
      </c>
      <c r="J106" s="7">
        <f t="shared" si="11"/>
        <v>0.22500000000000001</v>
      </c>
      <c r="K106" s="16">
        <f t="shared" si="12"/>
        <v>0.31900000000000001</v>
      </c>
      <c r="L106" s="16">
        <f t="shared" si="13"/>
        <v>0.66100000000000003</v>
      </c>
      <c r="M106" s="16">
        <f t="shared" si="14"/>
        <v>0.29380000000000006</v>
      </c>
      <c r="N106" s="7">
        <v>5326.6</v>
      </c>
      <c r="O106" s="7">
        <v>8224.5</v>
      </c>
      <c r="P106" s="13">
        <f t="shared" si="15"/>
        <v>9.0766732991424126E-2</v>
      </c>
    </row>
    <row r="107" spans="1:16" x14ac:dyDescent="0.3">
      <c r="A107" s="6">
        <v>40848</v>
      </c>
      <c r="B107" s="7">
        <v>4832.05</v>
      </c>
      <c r="C107" s="7">
        <v>17.489999999999998</v>
      </c>
      <c r="D107" s="7">
        <v>2.89</v>
      </c>
      <c r="E107" s="7">
        <v>8.7379999999999995</v>
      </c>
      <c r="F107" s="7">
        <f>(E107/'Yearly GDP'!$B$10)*100</f>
        <v>520.11904761904759</v>
      </c>
      <c r="G107" s="15">
        <f t="shared" si="8"/>
        <v>5.7175528873642086E-2</v>
      </c>
      <c r="H107" s="14">
        <f t="shared" si="9"/>
        <v>0.65433198527857728</v>
      </c>
      <c r="I107" s="7">
        <f t="shared" si="10"/>
        <v>0.16500000000000001</v>
      </c>
      <c r="J107" s="7">
        <f t="shared" si="11"/>
        <v>0.09</v>
      </c>
      <c r="K107" s="16">
        <f t="shared" si="12"/>
        <v>0.60899999999999999</v>
      </c>
      <c r="L107" s="16">
        <f t="shared" si="13"/>
        <v>0.65</v>
      </c>
      <c r="M107" s="16">
        <f t="shared" si="14"/>
        <v>0.27579999999999999</v>
      </c>
      <c r="N107" s="7">
        <v>4832.05</v>
      </c>
      <c r="O107" s="7">
        <v>8185.8</v>
      </c>
      <c r="P107" s="13">
        <f t="shared" si="15"/>
        <v>0.11118390444316884</v>
      </c>
    </row>
    <row r="108" spans="1:16" x14ac:dyDescent="0.3">
      <c r="A108" s="6">
        <v>40878</v>
      </c>
      <c r="B108" s="7">
        <v>4624.3</v>
      </c>
      <c r="C108" s="7">
        <v>16.75</v>
      </c>
      <c r="D108" s="7">
        <v>2.76</v>
      </c>
      <c r="E108" s="7">
        <v>8.56</v>
      </c>
      <c r="F108" s="7">
        <f>(E108/'Yearly GDP'!$B$10)*100</f>
        <v>509.52380952380958</v>
      </c>
      <c r="G108" s="15">
        <f t="shared" si="8"/>
        <v>5.9701492537313432E-2</v>
      </c>
      <c r="H108" s="14">
        <f t="shared" si="9"/>
        <v>0.69744734272562414</v>
      </c>
      <c r="I108" s="7">
        <f t="shared" si="10"/>
        <v>0.13100000000000001</v>
      </c>
      <c r="J108" s="7">
        <f t="shared" si="11"/>
        <v>5.1999999999999998E-2</v>
      </c>
      <c r="K108" s="16">
        <f t="shared" si="12"/>
        <v>0.751</v>
      </c>
      <c r="L108" s="16">
        <f t="shared" si="13"/>
        <v>0.64200000000000002</v>
      </c>
      <c r="M108" s="16">
        <f t="shared" si="14"/>
        <v>0.28459999999999996</v>
      </c>
      <c r="N108" s="7">
        <v>4624.3</v>
      </c>
      <c r="O108" s="7">
        <v>8561.2999999999993</v>
      </c>
      <c r="P108" s="13">
        <f t="shared" si="15"/>
        <v>0.13109411531990833</v>
      </c>
    </row>
    <row r="109" spans="1:16" x14ac:dyDescent="0.3">
      <c r="A109" s="6">
        <v>40909</v>
      </c>
      <c r="B109" s="7">
        <v>5199.25</v>
      </c>
      <c r="C109" s="7">
        <v>18.53</v>
      </c>
      <c r="D109" s="7">
        <v>3.02</v>
      </c>
      <c r="E109" s="7">
        <v>8.2669999999999995</v>
      </c>
      <c r="F109" s="7">
        <f>(E109/'Yearly GDP'!$B$11)*100</f>
        <v>454.23076923076923</v>
      </c>
      <c r="G109" s="15">
        <f t="shared" si="8"/>
        <v>5.3966540744738258E-2</v>
      </c>
      <c r="H109" s="14">
        <f t="shared" si="9"/>
        <v>0.65279473502767948</v>
      </c>
      <c r="I109" s="7">
        <f t="shared" si="10"/>
        <v>0.26300000000000001</v>
      </c>
      <c r="J109" s="7">
        <f t="shared" si="11"/>
        <v>0.14599999999999999</v>
      </c>
      <c r="K109" s="16">
        <f t="shared" si="12"/>
        <v>0.60099999999999998</v>
      </c>
      <c r="L109" s="16">
        <f t="shared" si="13"/>
        <v>0.53700000000000003</v>
      </c>
      <c r="M109" s="16">
        <f t="shared" si="14"/>
        <v>0.34720000000000006</v>
      </c>
      <c r="N109" s="7">
        <v>5199.25</v>
      </c>
      <c r="O109" s="7">
        <v>8879.6</v>
      </c>
      <c r="P109" s="13">
        <f t="shared" si="15"/>
        <v>0.11298814996578321</v>
      </c>
    </row>
    <row r="110" spans="1:16" x14ac:dyDescent="0.3">
      <c r="A110" s="6">
        <v>40940</v>
      </c>
      <c r="B110" s="7">
        <v>5385.2</v>
      </c>
      <c r="C110" s="7">
        <v>19.09</v>
      </c>
      <c r="D110" s="7">
        <v>3.04</v>
      </c>
      <c r="E110" s="7">
        <v>8.1989999999999998</v>
      </c>
      <c r="F110" s="7">
        <f>(E110/'Yearly GDP'!$B$11)*100</f>
        <v>450.49450549450552</v>
      </c>
      <c r="G110" s="15">
        <f t="shared" si="8"/>
        <v>5.2383446830801469E-2</v>
      </c>
      <c r="H110" s="14">
        <f t="shared" si="9"/>
        <v>0.638900437014288</v>
      </c>
      <c r="I110" s="7">
        <f t="shared" si="10"/>
        <v>0.3</v>
      </c>
      <c r="J110" s="7">
        <f t="shared" si="11"/>
        <v>0.16500000000000001</v>
      </c>
      <c r="K110" s="16">
        <f t="shared" si="12"/>
        <v>0.55600000000000005</v>
      </c>
      <c r="L110" s="16">
        <f t="shared" si="13"/>
        <v>0.52200000000000002</v>
      </c>
      <c r="M110" s="16">
        <f t="shared" si="14"/>
        <v>0.35980000000000001</v>
      </c>
      <c r="N110" s="7">
        <v>5385.2</v>
      </c>
      <c r="O110" s="7">
        <v>9173.75</v>
      </c>
      <c r="P110" s="13">
        <f t="shared" si="15"/>
        <v>0.11242057466585931</v>
      </c>
    </row>
    <row r="111" spans="1:16" x14ac:dyDescent="0.3">
      <c r="A111" s="6">
        <v>40969</v>
      </c>
      <c r="B111" s="7">
        <v>5295.55</v>
      </c>
      <c r="C111" s="7">
        <v>18.71</v>
      </c>
      <c r="D111" s="7">
        <v>3.01</v>
      </c>
      <c r="E111" s="7">
        <v>8.5719999999999992</v>
      </c>
      <c r="F111" s="7">
        <f>(E111/'Yearly GDP'!$B$11)*100</f>
        <v>470.98901098901092</v>
      </c>
      <c r="G111" s="15">
        <f t="shared" si="8"/>
        <v>5.3447354355959376E-2</v>
      </c>
      <c r="H111" s="14">
        <f t="shared" si="9"/>
        <v>0.62351090009285326</v>
      </c>
      <c r="I111" s="7">
        <f t="shared" si="10"/>
        <v>0.28100000000000003</v>
      </c>
      <c r="J111" s="7">
        <f t="shared" si="11"/>
        <v>0.13900000000000001</v>
      </c>
      <c r="K111" s="16">
        <f t="shared" si="12"/>
        <v>0.46200000000000002</v>
      </c>
      <c r="L111" s="16">
        <f t="shared" si="13"/>
        <v>0.57099999999999995</v>
      </c>
      <c r="M111" s="16">
        <f t="shared" si="14"/>
        <v>0.31840000000000002</v>
      </c>
      <c r="N111" s="7">
        <v>5295.55</v>
      </c>
      <c r="O111" s="7">
        <v>9304.0499999999993</v>
      </c>
      <c r="P111" s="13">
        <f t="shared" si="15"/>
        <v>0.11931466167982441</v>
      </c>
    </row>
    <row r="112" spans="1:16" x14ac:dyDescent="0.3">
      <c r="A112" s="6">
        <v>41000</v>
      </c>
      <c r="B112" s="7">
        <v>5248.15</v>
      </c>
      <c r="C112" s="7">
        <v>18.12</v>
      </c>
      <c r="D112" s="7">
        <v>3.08</v>
      </c>
      <c r="E112" s="7">
        <v>8.6709999999999994</v>
      </c>
      <c r="F112" s="7">
        <f>(E112/'Yearly GDP'!$B$11)*100</f>
        <v>476.42857142857133</v>
      </c>
      <c r="G112" s="15">
        <f t="shared" si="8"/>
        <v>5.518763796909492E-2</v>
      </c>
      <c r="H112" s="14">
        <f t="shared" si="9"/>
        <v>0.63646220700144074</v>
      </c>
      <c r="I112" s="7">
        <f t="shared" si="10"/>
        <v>0.22500000000000001</v>
      </c>
      <c r="J112" s="7">
        <f t="shared" si="11"/>
        <v>0.17599999999999999</v>
      </c>
      <c r="K112" s="16">
        <f t="shared" si="12"/>
        <v>0.53700000000000003</v>
      </c>
      <c r="L112" s="16">
        <f t="shared" si="13"/>
        <v>0.59699999999999998</v>
      </c>
      <c r="M112" s="16">
        <f t="shared" si="14"/>
        <v>0.31320000000000003</v>
      </c>
      <c r="N112" s="7">
        <v>5248.15</v>
      </c>
      <c r="O112" s="7">
        <v>9621.25</v>
      </c>
      <c r="P112" s="13">
        <f t="shared" si="15"/>
        <v>0.12887291211868912</v>
      </c>
    </row>
    <row r="113" spans="1:16" x14ac:dyDescent="0.3">
      <c r="A113" s="6">
        <v>41030</v>
      </c>
      <c r="B113" s="7">
        <v>4924.25</v>
      </c>
      <c r="C113" s="7">
        <v>16.66</v>
      </c>
      <c r="D113" s="7">
        <v>2.89</v>
      </c>
      <c r="E113" s="7">
        <v>8.3770000000000007</v>
      </c>
      <c r="F113" s="7">
        <f>(E113/'Yearly GDP'!$B$11)*100</f>
        <v>460.27472527472531</v>
      </c>
      <c r="G113" s="15">
        <f t="shared" si="8"/>
        <v>6.0024009603841535E-2</v>
      </c>
      <c r="H113" s="14">
        <f t="shared" si="9"/>
        <v>0.71653347981188409</v>
      </c>
      <c r="I113" s="7">
        <f t="shared" si="10"/>
        <v>0.127</v>
      </c>
      <c r="J113" s="7">
        <f t="shared" si="11"/>
        <v>0.09</v>
      </c>
      <c r="K113" s="16">
        <f t="shared" si="12"/>
        <v>0.78500000000000003</v>
      </c>
      <c r="L113" s="16">
        <f t="shared" si="13"/>
        <v>0.54800000000000004</v>
      </c>
      <c r="M113" s="16">
        <f t="shared" si="14"/>
        <v>0.31620000000000004</v>
      </c>
      <c r="N113" s="7">
        <v>4924.25</v>
      </c>
      <c r="O113" s="7">
        <v>9520.9</v>
      </c>
      <c r="P113" s="13">
        <f t="shared" si="15"/>
        <v>0.14095254656555301</v>
      </c>
    </row>
    <row r="114" spans="1:16" x14ac:dyDescent="0.3">
      <c r="A114" s="6">
        <v>41061</v>
      </c>
      <c r="B114" s="7">
        <v>5278.9</v>
      </c>
      <c r="C114" s="7">
        <v>17.510000000000002</v>
      </c>
      <c r="D114" s="7">
        <v>3.02</v>
      </c>
      <c r="E114" s="7">
        <v>8.3800000000000008</v>
      </c>
      <c r="F114" s="7">
        <f>(E114/'Yearly GDP'!$B$11)*100</f>
        <v>460.43956043956047</v>
      </c>
      <c r="G114" s="15">
        <f t="shared" si="8"/>
        <v>5.711022272986864E-2</v>
      </c>
      <c r="H114" s="14">
        <f t="shared" si="9"/>
        <v>0.6815062378265947</v>
      </c>
      <c r="I114" s="7">
        <f t="shared" si="10"/>
        <v>0.16900000000000001</v>
      </c>
      <c r="J114" s="7">
        <f t="shared" si="11"/>
        <v>0.14599999999999999</v>
      </c>
      <c r="K114" s="16">
        <f t="shared" si="12"/>
        <v>0.71</v>
      </c>
      <c r="L114" s="16">
        <f t="shared" si="13"/>
        <v>0.55200000000000005</v>
      </c>
      <c r="M114" s="16">
        <f t="shared" si="14"/>
        <v>0.32840000000000003</v>
      </c>
      <c r="N114" s="7">
        <v>5278.9</v>
      </c>
      <c r="O114" s="7">
        <v>10077.1</v>
      </c>
      <c r="P114" s="13">
        <f t="shared" si="15"/>
        <v>0.13804235752068994</v>
      </c>
    </row>
    <row r="115" spans="1:16" x14ac:dyDescent="0.3">
      <c r="A115" s="6">
        <v>41091</v>
      </c>
      <c r="B115" s="7">
        <v>5229</v>
      </c>
      <c r="C115" s="7">
        <v>17.09</v>
      </c>
      <c r="D115" s="7">
        <v>2.96</v>
      </c>
      <c r="E115" s="7">
        <v>8.2449999999999992</v>
      </c>
      <c r="F115" s="7">
        <f>(E115/'Yearly GDP'!$B$11)*100</f>
        <v>453.02197802197793</v>
      </c>
      <c r="G115" s="15">
        <f t="shared" si="8"/>
        <v>5.8513750731421885E-2</v>
      </c>
      <c r="H115" s="14">
        <f t="shared" si="9"/>
        <v>0.70968769837988954</v>
      </c>
      <c r="I115" s="7">
        <f t="shared" si="10"/>
        <v>0.14599999999999999</v>
      </c>
      <c r="J115" s="7">
        <f t="shared" si="11"/>
        <v>0.124</v>
      </c>
      <c r="K115" s="16">
        <f t="shared" si="12"/>
        <v>0.76600000000000001</v>
      </c>
      <c r="L115" s="16">
        <f t="shared" si="13"/>
        <v>0.53300000000000003</v>
      </c>
      <c r="M115" s="16">
        <f t="shared" si="14"/>
        <v>0.32979999999999998</v>
      </c>
      <c r="N115" s="7">
        <v>5229</v>
      </c>
      <c r="O115" s="7">
        <v>9917.9</v>
      </c>
      <c r="P115" s="13">
        <f t="shared" si="15"/>
        <v>0.13658054173999123</v>
      </c>
    </row>
    <row r="116" spans="1:16" x14ac:dyDescent="0.3">
      <c r="A116" s="6">
        <v>41122</v>
      </c>
      <c r="B116" s="7">
        <v>5258.5</v>
      </c>
      <c r="C116" s="7">
        <v>17.64</v>
      </c>
      <c r="D116" s="7">
        <v>2.87</v>
      </c>
      <c r="E116" s="7">
        <v>8.2409999999999997</v>
      </c>
      <c r="F116" s="7">
        <f>(E116/'Yearly GDP'!$B$11)*100</f>
        <v>452.80219780219778</v>
      </c>
      <c r="G116" s="15">
        <f t="shared" si="8"/>
        <v>5.6689342403628114E-2</v>
      </c>
      <c r="H116" s="14">
        <f t="shared" si="9"/>
        <v>0.68789397407630282</v>
      </c>
      <c r="I116" s="7">
        <f t="shared" si="10"/>
        <v>0.17599999999999999</v>
      </c>
      <c r="J116" s="7">
        <f t="shared" si="11"/>
        <v>7.8E-2</v>
      </c>
      <c r="K116" s="16">
        <f t="shared" si="12"/>
        <v>0.72499999999999998</v>
      </c>
      <c r="L116" s="16">
        <f t="shared" si="13"/>
        <v>0.53</v>
      </c>
      <c r="M116" s="16">
        <f t="shared" si="14"/>
        <v>0.32499999999999996</v>
      </c>
      <c r="N116" s="7">
        <v>5258.5</v>
      </c>
      <c r="O116" s="7">
        <v>9788.6</v>
      </c>
      <c r="P116" s="13">
        <f t="shared" si="15"/>
        <v>0.13232668105816781</v>
      </c>
    </row>
    <row r="117" spans="1:16" x14ac:dyDescent="0.3">
      <c r="A117" s="6">
        <v>41153</v>
      </c>
      <c r="B117" s="7">
        <v>5703.3</v>
      </c>
      <c r="C117" s="7">
        <v>19.170000000000002</v>
      </c>
      <c r="D117" s="7">
        <v>3.18</v>
      </c>
      <c r="E117" s="7">
        <v>8.1489999999999991</v>
      </c>
      <c r="F117" s="7">
        <f>(E117/'Yearly GDP'!$B$11)*100</f>
        <v>447.74725274725267</v>
      </c>
      <c r="G117" s="15">
        <f t="shared" si="8"/>
        <v>5.2164840897235255E-2</v>
      </c>
      <c r="H117" s="14">
        <f t="shared" si="9"/>
        <v>0.6401379420448553</v>
      </c>
      <c r="I117" s="7">
        <f t="shared" si="10"/>
        <v>0.308</v>
      </c>
      <c r="J117" s="7">
        <f t="shared" si="11"/>
        <v>0.221</v>
      </c>
      <c r="K117" s="16">
        <f t="shared" si="12"/>
        <v>0.56299999999999994</v>
      </c>
      <c r="L117" s="16">
        <f t="shared" si="13"/>
        <v>0.51500000000000001</v>
      </c>
      <c r="M117" s="16">
        <f t="shared" si="14"/>
        <v>0.377</v>
      </c>
      <c r="N117" s="7">
        <v>5703.3</v>
      </c>
      <c r="O117" s="7">
        <v>10335.299999999999</v>
      </c>
      <c r="P117" s="13">
        <f t="shared" si="15"/>
        <v>0.12626185179451666</v>
      </c>
    </row>
    <row r="118" spans="1:16" x14ac:dyDescent="0.3">
      <c r="A118" s="6">
        <v>41183</v>
      </c>
      <c r="B118" s="7">
        <v>5619.7</v>
      </c>
      <c r="C118" s="7">
        <v>18.399999999999999</v>
      </c>
      <c r="D118" s="7">
        <v>3.03</v>
      </c>
      <c r="E118" s="7">
        <v>8.2149999999999999</v>
      </c>
      <c r="F118" s="7">
        <f>(E118/'Yearly GDP'!$B$11)*100</f>
        <v>451.37362637362639</v>
      </c>
      <c r="G118" s="15">
        <f t="shared" si="8"/>
        <v>5.4347826086956527E-2</v>
      </c>
      <c r="H118" s="14">
        <f t="shared" si="9"/>
        <v>0.6615681812167562</v>
      </c>
      <c r="I118" s="7">
        <f t="shared" si="10"/>
        <v>0.24399999999999999</v>
      </c>
      <c r="J118" s="7">
        <f t="shared" si="11"/>
        <v>0.154</v>
      </c>
      <c r="K118" s="16">
        <f t="shared" si="12"/>
        <v>0.63900000000000001</v>
      </c>
      <c r="L118" s="16">
        <f t="shared" si="13"/>
        <v>0.52600000000000002</v>
      </c>
      <c r="M118" s="16">
        <f t="shared" si="14"/>
        <v>0.35099999999999998</v>
      </c>
      <c r="N118" s="7">
        <v>5619.7</v>
      </c>
      <c r="O118" s="7">
        <v>10226.549999999999</v>
      </c>
      <c r="P118" s="13">
        <f t="shared" si="15"/>
        <v>0.12720576901825065</v>
      </c>
    </row>
    <row r="119" spans="1:16" x14ac:dyDescent="0.3">
      <c r="A119" s="6">
        <v>41214</v>
      </c>
      <c r="B119" s="7">
        <v>5879.85</v>
      </c>
      <c r="C119" s="7">
        <v>18.59</v>
      </c>
      <c r="D119" s="7">
        <v>3.12</v>
      </c>
      <c r="E119" s="7">
        <v>8.1750000000000007</v>
      </c>
      <c r="F119" s="7">
        <f>(E119/'Yearly GDP'!$B$11)*100</f>
        <v>449.17582417582418</v>
      </c>
      <c r="G119" s="15">
        <f t="shared" si="8"/>
        <v>5.3792361484669177E-2</v>
      </c>
      <c r="H119" s="14">
        <f t="shared" si="9"/>
        <v>0.65801053803876663</v>
      </c>
      <c r="I119" s="7">
        <f t="shared" si="10"/>
        <v>0.26600000000000001</v>
      </c>
      <c r="J119" s="7">
        <f t="shared" si="11"/>
        <v>0.191</v>
      </c>
      <c r="K119" s="16">
        <f t="shared" si="12"/>
        <v>0.624</v>
      </c>
      <c r="L119" s="16">
        <f t="shared" si="13"/>
        <v>0.51800000000000002</v>
      </c>
      <c r="M119" s="16">
        <f t="shared" si="14"/>
        <v>0.36580000000000001</v>
      </c>
      <c r="N119" s="7">
        <v>5879.85</v>
      </c>
      <c r="O119" s="7">
        <v>10530.7</v>
      </c>
      <c r="P119" s="13">
        <f t="shared" si="15"/>
        <v>0.12361673458452871</v>
      </c>
    </row>
    <row r="120" spans="1:16" x14ac:dyDescent="0.3">
      <c r="A120" s="6">
        <v>41244</v>
      </c>
      <c r="B120" s="7">
        <v>5905.1</v>
      </c>
      <c r="C120" s="7">
        <v>18.68</v>
      </c>
      <c r="D120" s="7">
        <v>3.13</v>
      </c>
      <c r="E120" s="7">
        <v>8.0489999999999995</v>
      </c>
      <c r="F120" s="7">
        <f>(E120/'Yearly GDP'!$B$11)*100</f>
        <v>442.25274725274721</v>
      </c>
      <c r="G120" s="15">
        <f t="shared" si="8"/>
        <v>5.353319057815846E-2</v>
      </c>
      <c r="H120" s="14">
        <f t="shared" si="9"/>
        <v>0.66509119863533939</v>
      </c>
      <c r="I120" s="7">
        <f t="shared" si="10"/>
        <v>0.27</v>
      </c>
      <c r="J120" s="7">
        <f t="shared" si="11"/>
        <v>0.20300000000000001</v>
      </c>
      <c r="K120" s="16">
        <f t="shared" si="12"/>
        <v>0.65700000000000003</v>
      </c>
      <c r="L120" s="16">
        <f t="shared" si="13"/>
        <v>0.503</v>
      </c>
      <c r="M120" s="16">
        <f t="shared" si="14"/>
        <v>0.37940000000000002</v>
      </c>
      <c r="N120" s="7">
        <v>5905.1</v>
      </c>
      <c r="O120" s="7">
        <v>11027.7</v>
      </c>
      <c r="P120" s="13">
        <f t="shared" si="15"/>
        <v>0.13305642362051118</v>
      </c>
    </row>
    <row r="121" spans="1:16" x14ac:dyDescent="0.3">
      <c r="A121" s="6">
        <v>41275</v>
      </c>
      <c r="B121" s="7">
        <v>6034.75</v>
      </c>
      <c r="C121" s="7">
        <v>18.5</v>
      </c>
      <c r="D121" s="7">
        <v>3.2</v>
      </c>
      <c r="E121" s="7">
        <v>7.9119999999999999</v>
      </c>
      <c r="F121" s="7">
        <f>(E121/'Yearly GDP'!$B$12)*100</f>
        <v>432.34972677595624</v>
      </c>
      <c r="G121" s="15">
        <f t="shared" si="8"/>
        <v>5.4054054054054057E-2</v>
      </c>
      <c r="H121" s="14">
        <f t="shared" si="9"/>
        <v>0.68319077419178531</v>
      </c>
      <c r="I121" s="7">
        <f t="shared" si="10"/>
        <v>0.25900000000000001</v>
      </c>
      <c r="J121" s="7">
        <f t="shared" si="11"/>
        <v>0.24</v>
      </c>
      <c r="K121" s="16">
        <f t="shared" si="12"/>
        <v>0.71799999999999997</v>
      </c>
      <c r="L121" s="16">
        <f t="shared" si="13"/>
        <v>0.49199999999999999</v>
      </c>
      <c r="M121" s="16">
        <f t="shared" si="14"/>
        <v>0.39680000000000004</v>
      </c>
      <c r="N121" s="7">
        <v>6034.75</v>
      </c>
      <c r="O121" s="7">
        <v>10492.85</v>
      </c>
      <c r="P121" s="13">
        <f t="shared" si="15"/>
        <v>0.11698370168664418</v>
      </c>
    </row>
    <row r="122" spans="1:16" x14ac:dyDescent="0.3">
      <c r="A122" s="6">
        <v>41306</v>
      </c>
      <c r="B122" s="7">
        <v>5693.05</v>
      </c>
      <c r="C122" s="7">
        <v>17.66</v>
      </c>
      <c r="D122" s="7">
        <v>3.03</v>
      </c>
      <c r="E122" s="7">
        <v>7.8719999999999999</v>
      </c>
      <c r="F122" s="7">
        <f>(E122/'Yearly GDP'!$B$12)*100</f>
        <v>430.1639344262295</v>
      </c>
      <c r="G122" s="15">
        <f t="shared" si="8"/>
        <v>5.6625141562853906E-2</v>
      </c>
      <c r="H122" s="14">
        <f t="shared" si="9"/>
        <v>0.71932344465007503</v>
      </c>
      <c r="I122" s="7">
        <f t="shared" si="10"/>
        <v>0.184</v>
      </c>
      <c r="J122" s="7">
        <f t="shared" si="11"/>
        <v>0.154</v>
      </c>
      <c r="K122" s="16">
        <f t="shared" si="12"/>
        <v>0.79600000000000004</v>
      </c>
      <c r="L122" s="16">
        <f t="shared" si="13"/>
        <v>0.48399999999999999</v>
      </c>
      <c r="M122" s="16">
        <f t="shared" si="14"/>
        <v>0.36680000000000001</v>
      </c>
      <c r="N122" s="7">
        <v>5693.05</v>
      </c>
      <c r="O122" s="7">
        <v>10113.700000000001</v>
      </c>
      <c r="P122" s="13">
        <f t="shared" si="15"/>
        <v>0.12179374424511669</v>
      </c>
    </row>
    <row r="123" spans="1:16" x14ac:dyDescent="0.3">
      <c r="A123" s="6">
        <v>41334</v>
      </c>
      <c r="B123" s="7">
        <v>5682.55</v>
      </c>
      <c r="C123" s="7">
        <v>17.57</v>
      </c>
      <c r="D123" s="7">
        <v>3.01</v>
      </c>
      <c r="E123" s="7">
        <v>7.9509999999999996</v>
      </c>
      <c r="F123" s="7">
        <f>(E123/'Yearly GDP'!$B$12)*100</f>
        <v>434.48087431693983</v>
      </c>
      <c r="G123" s="15">
        <f t="shared" si="8"/>
        <v>5.6915196357427429E-2</v>
      </c>
      <c r="H123" s="14">
        <f t="shared" si="9"/>
        <v>0.71582437878791894</v>
      </c>
      <c r="I123" s="7">
        <f t="shared" si="10"/>
        <v>0.17199999999999999</v>
      </c>
      <c r="J123" s="7">
        <f t="shared" si="11"/>
        <v>0.13900000000000001</v>
      </c>
      <c r="K123" s="16">
        <f t="shared" si="12"/>
        <v>0.78100000000000003</v>
      </c>
      <c r="L123" s="16">
        <f t="shared" si="13"/>
        <v>0.496</v>
      </c>
      <c r="M123" s="16">
        <f t="shared" si="14"/>
        <v>0.35360000000000003</v>
      </c>
      <c r="N123" s="7">
        <v>5682.55</v>
      </c>
      <c r="O123" s="7">
        <v>10739.35</v>
      </c>
      <c r="P123" s="13">
        <f t="shared" si="15"/>
        <v>0.13576098545805348</v>
      </c>
    </row>
    <row r="124" spans="1:16" x14ac:dyDescent="0.3">
      <c r="A124" s="6">
        <v>41365</v>
      </c>
      <c r="B124" s="7">
        <v>5930.2</v>
      </c>
      <c r="C124" s="7">
        <v>17.850000000000001</v>
      </c>
      <c r="D124" s="7">
        <v>3.13</v>
      </c>
      <c r="E124" s="7">
        <v>7.7309999999999999</v>
      </c>
      <c r="F124" s="7">
        <f>(E124/'Yearly GDP'!$B$12)*100</f>
        <v>422.4590163934426</v>
      </c>
      <c r="G124" s="15">
        <f t="shared" si="8"/>
        <v>5.6022408963585429E-2</v>
      </c>
      <c r="H124" s="14">
        <f t="shared" si="9"/>
        <v>0.72464634540920236</v>
      </c>
      <c r="I124" s="7">
        <f t="shared" si="10"/>
        <v>0.20300000000000001</v>
      </c>
      <c r="J124" s="7">
        <f t="shared" si="11"/>
        <v>0.20300000000000001</v>
      </c>
      <c r="K124" s="16">
        <f t="shared" si="12"/>
        <v>0.80400000000000005</v>
      </c>
      <c r="L124" s="16">
        <f t="shared" si="13"/>
        <v>0.48099999999999998</v>
      </c>
      <c r="M124" s="16">
        <f t="shared" si="14"/>
        <v>0.38640000000000008</v>
      </c>
      <c r="N124" s="7">
        <v>5930.2</v>
      </c>
      <c r="O124" s="7">
        <v>10736.15</v>
      </c>
      <c r="P124" s="13">
        <f t="shared" si="15"/>
        <v>0.12604525799658961</v>
      </c>
    </row>
    <row r="125" spans="1:16" x14ac:dyDescent="0.3">
      <c r="A125" s="6">
        <v>41395</v>
      </c>
      <c r="B125" s="7">
        <v>5985.95</v>
      </c>
      <c r="C125" s="7">
        <v>17.95</v>
      </c>
      <c r="D125" s="7">
        <v>3.16</v>
      </c>
      <c r="E125" s="7">
        <v>7.4429999999999996</v>
      </c>
      <c r="F125" s="7">
        <f>(E125/'Yearly GDP'!$B$12)*100</f>
        <v>406.72131147540983</v>
      </c>
      <c r="G125" s="15">
        <f t="shared" si="8"/>
        <v>5.5710306406685242E-2</v>
      </c>
      <c r="H125" s="14">
        <f t="shared" si="9"/>
        <v>0.74849262940595518</v>
      </c>
      <c r="I125" s="7">
        <f t="shared" si="10"/>
        <v>0.214</v>
      </c>
      <c r="J125" s="7">
        <f t="shared" si="11"/>
        <v>0.214</v>
      </c>
      <c r="K125" s="16">
        <f t="shared" si="12"/>
        <v>0.83</v>
      </c>
      <c r="L125" s="16">
        <f t="shared" si="13"/>
        <v>0.47299999999999998</v>
      </c>
      <c r="M125" s="16">
        <f t="shared" si="14"/>
        <v>0.39979999999999999</v>
      </c>
      <c r="N125" s="7">
        <v>5985.95</v>
      </c>
      <c r="O125" s="7">
        <v>10714.3</v>
      </c>
      <c r="P125" s="13">
        <f t="shared" si="15"/>
        <v>0.12348206414534935</v>
      </c>
    </row>
    <row r="126" spans="1:16" x14ac:dyDescent="0.3">
      <c r="A126" s="6">
        <v>41426</v>
      </c>
      <c r="B126" s="7">
        <v>5842.2</v>
      </c>
      <c r="C126" s="7">
        <v>17.760000000000002</v>
      </c>
      <c r="D126" s="7">
        <v>3.04</v>
      </c>
      <c r="E126" s="7">
        <v>7.4390000000000001</v>
      </c>
      <c r="F126" s="7">
        <f>(E126/'Yearly GDP'!$B$12)*100</f>
        <v>406.50273224043713</v>
      </c>
      <c r="G126" s="15">
        <f t="shared" si="8"/>
        <v>5.63063063063063E-2</v>
      </c>
      <c r="H126" s="14">
        <f t="shared" si="9"/>
        <v>0.75690692709109153</v>
      </c>
      <c r="I126" s="7">
        <f t="shared" si="10"/>
        <v>0.19500000000000001</v>
      </c>
      <c r="J126" s="7">
        <f t="shared" si="11"/>
        <v>0.16500000000000001</v>
      </c>
      <c r="K126" s="16">
        <f t="shared" si="12"/>
        <v>0.83799999999999997</v>
      </c>
      <c r="L126" s="16">
        <f t="shared" si="13"/>
        <v>0.46899999999999997</v>
      </c>
      <c r="M126" s="16">
        <f t="shared" si="14"/>
        <v>0.38480000000000003</v>
      </c>
      <c r="N126" s="7">
        <v>5842.2</v>
      </c>
      <c r="O126" s="7">
        <v>11356.5</v>
      </c>
      <c r="P126" s="13">
        <f t="shared" si="15"/>
        <v>0.14217754291385432</v>
      </c>
    </row>
    <row r="127" spans="1:16" x14ac:dyDescent="0.3">
      <c r="A127" s="6">
        <v>41456</v>
      </c>
      <c r="B127" s="7">
        <v>5742</v>
      </c>
      <c r="C127" s="7">
        <v>17.05</v>
      </c>
      <c r="D127" s="7">
        <v>2.84</v>
      </c>
      <c r="E127" s="7">
        <v>8.1720000000000006</v>
      </c>
      <c r="F127" s="7">
        <f>(E127/'Yearly GDP'!$B$12)*100</f>
        <v>446.55737704918039</v>
      </c>
      <c r="G127" s="15">
        <f t="shared" si="8"/>
        <v>5.8651026392961873E-2</v>
      </c>
      <c r="H127" s="14">
        <f t="shared" si="9"/>
        <v>0.71770712668822645</v>
      </c>
      <c r="I127" s="7">
        <f t="shared" si="10"/>
        <v>0.14199999999999999</v>
      </c>
      <c r="J127" s="7">
        <f t="shared" si="11"/>
        <v>7.0999999999999994E-2</v>
      </c>
      <c r="K127" s="16">
        <f t="shared" si="12"/>
        <v>0.78900000000000003</v>
      </c>
      <c r="L127" s="16">
        <f t="shared" si="13"/>
        <v>0.51100000000000001</v>
      </c>
      <c r="M127" s="16">
        <f t="shared" si="14"/>
        <v>0.3266</v>
      </c>
      <c r="N127" s="7">
        <v>5742</v>
      </c>
      <c r="O127" s="7">
        <v>11680.5</v>
      </c>
      <c r="P127" s="13">
        <f t="shared" si="15"/>
        <v>0.1526027438602342</v>
      </c>
    </row>
    <row r="128" spans="1:16" x14ac:dyDescent="0.3">
      <c r="A128" s="6">
        <v>41487</v>
      </c>
      <c r="B128" s="7">
        <v>5471.8</v>
      </c>
      <c r="C128" s="7">
        <v>15.77</v>
      </c>
      <c r="D128" s="7">
        <v>2.71</v>
      </c>
      <c r="E128" s="7">
        <v>8.5960000000000001</v>
      </c>
      <c r="F128" s="7">
        <f>(E128/'Yearly GDP'!$B$12)*100</f>
        <v>469.72677595628409</v>
      </c>
      <c r="G128" s="15">
        <f t="shared" si="8"/>
        <v>6.3411540900443888E-2</v>
      </c>
      <c r="H128" s="14">
        <f t="shared" si="9"/>
        <v>0.73768660889301874</v>
      </c>
      <c r="I128" s="7">
        <f t="shared" si="10"/>
        <v>0.109</v>
      </c>
      <c r="J128" s="7">
        <f t="shared" si="11"/>
        <v>4.4999999999999998E-2</v>
      </c>
      <c r="K128" s="16">
        <f t="shared" si="12"/>
        <v>0.81200000000000006</v>
      </c>
      <c r="L128" s="16">
        <f t="shared" si="13"/>
        <v>0.56299999999999994</v>
      </c>
      <c r="M128" s="16">
        <f t="shared" si="14"/>
        <v>0.30240000000000006</v>
      </c>
      <c r="N128" s="7">
        <v>5471.8</v>
      </c>
      <c r="O128" s="7">
        <v>10930.45</v>
      </c>
      <c r="P128" s="13">
        <f t="shared" si="15"/>
        <v>0.14842216345215831</v>
      </c>
    </row>
    <row r="129" spans="1:16" x14ac:dyDescent="0.3">
      <c r="A129" s="6">
        <v>41518</v>
      </c>
      <c r="B129" s="7">
        <v>5735.3</v>
      </c>
      <c r="C129" s="7">
        <v>16.82</v>
      </c>
      <c r="D129" s="7">
        <v>2.77</v>
      </c>
      <c r="E129" s="7">
        <v>8.766</v>
      </c>
      <c r="F129" s="7">
        <f>(E129/'Yearly GDP'!$B$12)*100</f>
        <v>479.01639344262293</v>
      </c>
      <c r="G129" s="15">
        <f t="shared" si="8"/>
        <v>5.9453032104637336E-2</v>
      </c>
      <c r="H129" s="14">
        <f t="shared" si="9"/>
        <v>0.67822304477113093</v>
      </c>
      <c r="I129" s="7">
        <f t="shared" si="10"/>
        <v>0.13500000000000001</v>
      </c>
      <c r="J129" s="7">
        <f t="shared" si="11"/>
        <v>5.6000000000000001E-2</v>
      </c>
      <c r="K129" s="16">
        <f t="shared" si="12"/>
        <v>0.70299999999999996</v>
      </c>
      <c r="L129" s="16">
        <f t="shared" si="13"/>
        <v>0.60499999999999998</v>
      </c>
      <c r="M129" s="16">
        <f t="shared" si="14"/>
        <v>0.28480000000000005</v>
      </c>
      <c r="N129" s="7">
        <v>5735.3</v>
      </c>
      <c r="O129" s="7">
        <v>10386.6</v>
      </c>
      <c r="P129" s="13">
        <f t="shared" si="15"/>
        <v>0.1261168410947382</v>
      </c>
    </row>
    <row r="130" spans="1:16" x14ac:dyDescent="0.3">
      <c r="A130" s="6">
        <v>41548</v>
      </c>
      <c r="B130" s="7">
        <v>6299.15</v>
      </c>
      <c r="C130" s="7">
        <v>18.18</v>
      </c>
      <c r="D130" s="7">
        <v>2.99</v>
      </c>
      <c r="E130" s="7">
        <v>8.625</v>
      </c>
      <c r="F130" s="7">
        <f>(E130/'Yearly GDP'!$B$12)*100</f>
        <v>471.31147540983608</v>
      </c>
      <c r="G130" s="15">
        <f t="shared" si="8"/>
        <v>5.5005500550055007E-2</v>
      </c>
      <c r="H130" s="14">
        <f t="shared" si="9"/>
        <v>0.63774493391368126</v>
      </c>
      <c r="I130" s="7">
        <f t="shared" si="10"/>
        <v>0.22900000000000001</v>
      </c>
      <c r="J130" s="7">
        <f t="shared" si="11"/>
        <v>0.13100000000000001</v>
      </c>
      <c r="K130" s="16">
        <f t="shared" si="12"/>
        <v>0.54500000000000004</v>
      </c>
      <c r="L130" s="16">
        <f t="shared" si="13"/>
        <v>0.57499999999999996</v>
      </c>
      <c r="M130" s="16">
        <f t="shared" si="14"/>
        <v>0.31180000000000008</v>
      </c>
      <c r="N130" s="7">
        <v>6299.15</v>
      </c>
      <c r="O130" s="7">
        <v>10876.75</v>
      </c>
      <c r="P130" s="13">
        <f t="shared" si="15"/>
        <v>0.11543287244722089</v>
      </c>
    </row>
    <row r="131" spans="1:16" x14ac:dyDescent="0.3">
      <c r="A131" s="6">
        <v>41579</v>
      </c>
      <c r="B131" s="7">
        <v>6176.1</v>
      </c>
      <c r="C131" s="7">
        <v>18.38</v>
      </c>
      <c r="D131" s="7">
        <v>2.93</v>
      </c>
      <c r="E131" s="7">
        <v>9.0440000000000005</v>
      </c>
      <c r="F131" s="7">
        <f>(E131/'Yearly GDP'!$B$12)*100</f>
        <v>494.20765027322409</v>
      </c>
      <c r="G131" s="15">
        <f t="shared" si="8"/>
        <v>5.4406964091403699E-2</v>
      </c>
      <c r="H131" s="14">
        <f t="shared" si="9"/>
        <v>0.60158076173599839</v>
      </c>
      <c r="I131" s="7">
        <f t="shared" si="10"/>
        <v>0.24</v>
      </c>
      <c r="J131" s="7">
        <f t="shared" si="11"/>
        <v>0.105</v>
      </c>
      <c r="K131" s="16">
        <f t="shared" si="12"/>
        <v>0.34499999999999997</v>
      </c>
      <c r="L131" s="16">
        <f t="shared" si="13"/>
        <v>0.62</v>
      </c>
      <c r="M131" s="16">
        <f t="shared" si="14"/>
        <v>0.26200000000000001</v>
      </c>
      <c r="N131" s="7">
        <v>6176.1</v>
      </c>
      <c r="O131" s="7">
        <v>10862.55</v>
      </c>
      <c r="P131" s="13">
        <f t="shared" si="15"/>
        <v>0.11954999887945883</v>
      </c>
    </row>
    <row r="132" spans="1:16" x14ac:dyDescent="0.3">
      <c r="A132" s="6">
        <v>41609</v>
      </c>
      <c r="B132" s="7">
        <v>6304</v>
      </c>
      <c r="C132" s="7">
        <v>18.7</v>
      </c>
      <c r="D132" s="7">
        <v>2.99</v>
      </c>
      <c r="E132" s="7">
        <v>8.82</v>
      </c>
      <c r="F132" s="7">
        <f>(E132/'Yearly GDP'!$B$12)*100</f>
        <v>481.96721311475403</v>
      </c>
      <c r="G132" s="15">
        <f t="shared" ref="G132:G195" si="16">1/C132</f>
        <v>5.3475935828877004E-2</v>
      </c>
      <c r="H132" s="14">
        <f t="shared" ref="H132:H195" si="17">G132/E132*(100)</f>
        <v>0.60630312731153069</v>
      </c>
      <c r="I132" s="7">
        <f t="shared" ref="I132:I195" si="18">_xlfn.PERCENTRANK.INC($C$3:$C$269,C132)</f>
        <v>0.27800000000000002</v>
      </c>
      <c r="J132" s="7">
        <f t="shared" ref="J132:J195" si="19">_xlfn.PERCENTRANK.INC($D$3:$D$269,D132)</f>
        <v>0.13100000000000001</v>
      </c>
      <c r="K132" s="16">
        <f t="shared" ref="K132:K195" si="20">_xlfn.PERCENTRANK.INC($H$3:$H$269,H132)</f>
        <v>0.379</v>
      </c>
      <c r="L132" s="16">
        <f t="shared" ref="L132:L195" si="21">_xlfn.PERCENTRANK.INC($F$3:$F$269,F132)</f>
        <v>0.60899999999999999</v>
      </c>
      <c r="M132" s="16">
        <f t="shared" ref="M132:M195" si="22">(I132*0.4)+(J132*0.2)+(K132*0.2)+((1-L132)*0.2)</f>
        <v>0.29140000000000005</v>
      </c>
      <c r="N132" s="7">
        <v>6304</v>
      </c>
      <c r="O132" s="7">
        <v>10830.95</v>
      </c>
      <c r="P132" s="13">
        <f t="shared" ref="P132:P195" si="23">(O132/N132)^(1/5)-1</f>
        <v>0.11432036926793798</v>
      </c>
    </row>
    <row r="133" spans="1:16" x14ac:dyDescent="0.3">
      <c r="A133" s="6">
        <v>41640</v>
      </c>
      <c r="B133" s="7">
        <v>6089.5</v>
      </c>
      <c r="C133" s="7">
        <v>17.7</v>
      </c>
      <c r="D133" s="7">
        <v>2.88</v>
      </c>
      <c r="E133" s="7">
        <v>8.77</v>
      </c>
      <c r="F133" s="7">
        <f>(E133/'Yearly GDP'!$B$13)*100</f>
        <v>471.50537634408602</v>
      </c>
      <c r="G133" s="15">
        <f t="shared" si="16"/>
        <v>5.6497175141242938E-2</v>
      </c>
      <c r="H133" s="14">
        <f t="shared" si="17"/>
        <v>0.64420952270516463</v>
      </c>
      <c r="I133" s="7">
        <f t="shared" si="18"/>
        <v>0.191</v>
      </c>
      <c r="J133" s="7">
        <f t="shared" si="19"/>
        <v>8.5999999999999993E-2</v>
      </c>
      <c r="K133" s="16">
        <f t="shared" si="20"/>
        <v>0.58199999999999996</v>
      </c>
      <c r="L133" s="16">
        <f t="shared" si="21"/>
        <v>0.57799999999999996</v>
      </c>
      <c r="M133" s="16">
        <f t="shared" si="22"/>
        <v>0.29440000000000005</v>
      </c>
      <c r="N133" s="7">
        <v>6089.5</v>
      </c>
      <c r="O133" s="7">
        <v>10792.5</v>
      </c>
      <c r="P133" s="13">
        <f t="shared" si="23"/>
        <v>0.12126453148253047</v>
      </c>
    </row>
    <row r="134" spans="1:16" x14ac:dyDescent="0.3">
      <c r="A134" s="6">
        <v>41671</v>
      </c>
      <c r="B134" s="7">
        <v>6276.95</v>
      </c>
      <c r="C134" s="7">
        <v>17.670000000000002</v>
      </c>
      <c r="D134" s="7">
        <v>2.97</v>
      </c>
      <c r="E134" s="7">
        <v>8.8620000000000001</v>
      </c>
      <c r="F134" s="7">
        <f>(E134/'Yearly GDP'!$B$13)*100</f>
        <v>476.45161290322579</v>
      </c>
      <c r="G134" s="15">
        <f t="shared" si="16"/>
        <v>5.6593095642331628E-2</v>
      </c>
      <c r="H134" s="14">
        <f t="shared" si="17"/>
        <v>0.63860410338898255</v>
      </c>
      <c r="I134" s="7">
        <f t="shared" si="18"/>
        <v>0.187</v>
      </c>
      <c r="J134" s="7">
        <f t="shared" si="19"/>
        <v>0.127</v>
      </c>
      <c r="K134" s="16">
        <f t="shared" si="20"/>
        <v>0.54800000000000004</v>
      </c>
      <c r="L134" s="16">
        <f t="shared" si="21"/>
        <v>0.60099999999999998</v>
      </c>
      <c r="M134" s="16">
        <f t="shared" si="22"/>
        <v>0.28960000000000008</v>
      </c>
      <c r="N134" s="7">
        <v>6276.95</v>
      </c>
      <c r="O134" s="7">
        <v>11623.9</v>
      </c>
      <c r="P134" s="13">
        <f t="shared" si="23"/>
        <v>0.13115114426111618</v>
      </c>
    </row>
    <row r="135" spans="1:16" x14ac:dyDescent="0.3">
      <c r="A135" s="6">
        <v>41699</v>
      </c>
      <c r="B135" s="7">
        <v>6704.2</v>
      </c>
      <c r="C135" s="7">
        <v>18.86</v>
      </c>
      <c r="D135" s="7">
        <v>3.23</v>
      </c>
      <c r="E135" s="7">
        <v>8.8040000000000003</v>
      </c>
      <c r="F135" s="7">
        <f>(E135/'Yearly GDP'!$B$13)*100</f>
        <v>473.33333333333331</v>
      </c>
      <c r="G135" s="15">
        <f t="shared" si="16"/>
        <v>5.3022269353128315E-2</v>
      </c>
      <c r="H135" s="14">
        <f t="shared" si="17"/>
        <v>0.6022520371777409</v>
      </c>
      <c r="I135" s="7">
        <f t="shared" si="18"/>
        <v>0.28899999999999998</v>
      </c>
      <c r="J135" s="7">
        <f t="shared" si="19"/>
        <v>0.255</v>
      </c>
      <c r="K135" s="16">
        <f t="shared" si="20"/>
        <v>0.36</v>
      </c>
      <c r="L135" s="16">
        <f t="shared" si="21"/>
        <v>0.58199999999999996</v>
      </c>
      <c r="M135" s="16">
        <f t="shared" si="22"/>
        <v>0.32219999999999999</v>
      </c>
      <c r="N135" s="7">
        <v>6704.2</v>
      </c>
      <c r="O135" s="7">
        <v>11748.15</v>
      </c>
      <c r="P135" s="13">
        <f t="shared" si="23"/>
        <v>0.11872799052879013</v>
      </c>
    </row>
    <row r="136" spans="1:16" x14ac:dyDescent="0.3">
      <c r="A136" s="6">
        <v>41730</v>
      </c>
      <c r="B136" s="7">
        <v>6696.4</v>
      </c>
      <c r="C136" s="7">
        <v>18.79</v>
      </c>
      <c r="D136" s="7">
        <v>3.23</v>
      </c>
      <c r="E136" s="7">
        <v>8.8279999999999994</v>
      </c>
      <c r="F136" s="7">
        <f>(E136/'Yearly GDP'!$B$13)*100</f>
        <v>474.6236559139785</v>
      </c>
      <c r="G136" s="15">
        <f t="shared" si="16"/>
        <v>5.3219797764768498E-2</v>
      </c>
      <c r="H136" s="14">
        <f t="shared" si="17"/>
        <v>0.60285226285419691</v>
      </c>
      <c r="I136" s="7">
        <f t="shared" si="18"/>
        <v>0.28499999999999998</v>
      </c>
      <c r="J136" s="7">
        <f t="shared" si="19"/>
        <v>0.255</v>
      </c>
      <c r="K136" s="16">
        <f t="shared" si="20"/>
        <v>0.36399999999999999</v>
      </c>
      <c r="L136" s="16">
        <f t="shared" si="21"/>
        <v>0.58599999999999997</v>
      </c>
      <c r="M136" s="16">
        <f t="shared" si="22"/>
        <v>0.3206</v>
      </c>
      <c r="N136" s="7">
        <v>6696.4</v>
      </c>
      <c r="O136" s="7">
        <v>11922.8</v>
      </c>
      <c r="P136" s="13">
        <f t="shared" si="23"/>
        <v>0.12229589454919054</v>
      </c>
    </row>
    <row r="137" spans="1:16" x14ac:dyDescent="0.3">
      <c r="A137" s="6">
        <v>41760</v>
      </c>
      <c r="B137" s="7">
        <v>7229.95</v>
      </c>
      <c r="C137" s="7">
        <v>19.82</v>
      </c>
      <c r="D137" s="7">
        <v>3.43</v>
      </c>
      <c r="E137" s="7">
        <v>8.6449999999999996</v>
      </c>
      <c r="F137" s="7">
        <f>(E137/'Yearly GDP'!$B$13)*100</f>
        <v>464.78494623655911</v>
      </c>
      <c r="G137" s="15">
        <f t="shared" si="16"/>
        <v>5.0454086781029264E-2</v>
      </c>
      <c r="H137" s="14">
        <f t="shared" si="17"/>
        <v>0.5836215937655207</v>
      </c>
      <c r="I137" s="7">
        <f t="shared" si="18"/>
        <v>0.33400000000000002</v>
      </c>
      <c r="J137" s="7">
        <f t="shared" si="19"/>
        <v>0.36</v>
      </c>
      <c r="K137" s="16">
        <f t="shared" si="20"/>
        <v>0.27</v>
      </c>
      <c r="L137" s="16">
        <f t="shared" si="21"/>
        <v>0.55600000000000005</v>
      </c>
      <c r="M137" s="16">
        <f t="shared" si="22"/>
        <v>0.34839999999999999</v>
      </c>
      <c r="N137" s="7">
        <v>7229.95</v>
      </c>
      <c r="O137" s="7">
        <v>11788.85</v>
      </c>
      <c r="P137" s="13">
        <f t="shared" si="23"/>
        <v>0.10272502276854345</v>
      </c>
    </row>
    <row r="138" spans="1:16" x14ac:dyDescent="0.3">
      <c r="A138" s="6">
        <v>41791</v>
      </c>
      <c r="B138" s="7">
        <v>7611.35</v>
      </c>
      <c r="C138" s="7">
        <v>20.65</v>
      </c>
      <c r="D138" s="7">
        <v>3.48</v>
      </c>
      <c r="E138" s="7">
        <v>8.7439999999999998</v>
      </c>
      <c r="F138" s="7">
        <f>(E138/'Yearly GDP'!$B$13)*100</f>
        <v>470.10752688172033</v>
      </c>
      <c r="G138" s="15">
        <f t="shared" si="16"/>
        <v>4.8426150121065381E-2</v>
      </c>
      <c r="H138" s="14">
        <f t="shared" si="17"/>
        <v>0.55382147896918321</v>
      </c>
      <c r="I138" s="7">
        <f t="shared" si="18"/>
        <v>0.41699999999999998</v>
      </c>
      <c r="J138" s="7">
        <f t="shared" si="19"/>
        <v>0.40899999999999997</v>
      </c>
      <c r="K138" s="16">
        <f t="shared" si="20"/>
        <v>0.161</v>
      </c>
      <c r="L138" s="16">
        <f t="shared" si="21"/>
        <v>0.56699999999999995</v>
      </c>
      <c r="M138" s="16">
        <f t="shared" si="22"/>
        <v>0.3674</v>
      </c>
      <c r="N138" s="7">
        <v>7611.35</v>
      </c>
      <c r="O138" s="7">
        <v>11118</v>
      </c>
      <c r="P138" s="13">
        <f t="shared" si="23"/>
        <v>7.8730592416353273E-2</v>
      </c>
    </row>
    <row r="139" spans="1:16" x14ac:dyDescent="0.3">
      <c r="A139" s="6">
        <v>41821</v>
      </c>
      <c r="B139" s="7">
        <v>7721.3</v>
      </c>
      <c r="C139" s="7">
        <v>20.56</v>
      </c>
      <c r="D139" s="7">
        <v>3.48</v>
      </c>
      <c r="E139" s="7">
        <v>8.718</v>
      </c>
      <c r="F139" s="7">
        <f>(E139/'Yearly GDP'!$B$13)*100</f>
        <v>468.70967741935476</v>
      </c>
      <c r="G139" s="15">
        <f t="shared" si="16"/>
        <v>4.8638132295719845E-2</v>
      </c>
      <c r="H139" s="14">
        <f t="shared" si="17"/>
        <v>0.55790470630557287</v>
      </c>
      <c r="I139" s="7">
        <f t="shared" si="18"/>
        <v>0.40200000000000002</v>
      </c>
      <c r="J139" s="7">
        <f t="shared" si="19"/>
        <v>0.40899999999999997</v>
      </c>
      <c r="K139" s="16">
        <f t="shared" si="20"/>
        <v>0.17199999999999999</v>
      </c>
      <c r="L139" s="16">
        <f t="shared" si="21"/>
        <v>0.56000000000000005</v>
      </c>
      <c r="M139" s="16">
        <f t="shared" si="22"/>
        <v>0.36499999999999999</v>
      </c>
      <c r="N139" s="7">
        <v>7721.3</v>
      </c>
      <c r="O139" s="7">
        <v>11023.25</v>
      </c>
      <c r="P139" s="13">
        <f t="shared" si="23"/>
        <v>7.3801103845733573E-2</v>
      </c>
    </row>
    <row r="140" spans="1:16" x14ac:dyDescent="0.3">
      <c r="A140" s="6">
        <v>41852</v>
      </c>
      <c r="B140" s="7">
        <v>7954.35</v>
      </c>
      <c r="C140" s="7">
        <v>20.8</v>
      </c>
      <c r="D140" s="7">
        <v>3.46</v>
      </c>
      <c r="E140" s="7">
        <v>8.5589999999999993</v>
      </c>
      <c r="F140" s="7">
        <f>(E140/'Yearly GDP'!$B$13)*100</f>
        <v>460.16129032258056</v>
      </c>
      <c r="G140" s="15">
        <f t="shared" si="16"/>
        <v>4.8076923076923073E-2</v>
      </c>
      <c r="H140" s="14">
        <f t="shared" si="17"/>
        <v>0.56171191817879518</v>
      </c>
      <c r="I140" s="7">
        <f t="shared" si="18"/>
        <v>0.443</v>
      </c>
      <c r="J140" s="7">
        <f t="shared" si="19"/>
        <v>0.39</v>
      </c>
      <c r="K140" s="16">
        <f t="shared" si="20"/>
        <v>0.187</v>
      </c>
      <c r="L140" s="16">
        <f t="shared" si="21"/>
        <v>0.54500000000000004</v>
      </c>
      <c r="M140" s="16">
        <f t="shared" si="22"/>
        <v>0.38360000000000005</v>
      </c>
      <c r="N140" s="7">
        <v>7954.35</v>
      </c>
      <c r="O140" s="7">
        <v>11474.45</v>
      </c>
      <c r="P140" s="13">
        <f t="shared" si="23"/>
        <v>7.6032617708897243E-2</v>
      </c>
    </row>
    <row r="141" spans="1:16" x14ac:dyDescent="0.3">
      <c r="A141" s="6">
        <v>41883</v>
      </c>
      <c r="B141" s="7">
        <v>7964.8</v>
      </c>
      <c r="C141" s="7">
        <v>20.82</v>
      </c>
      <c r="D141" s="7">
        <v>3.43</v>
      </c>
      <c r="E141" s="7">
        <v>8.5109999999999992</v>
      </c>
      <c r="F141" s="7">
        <f>(E141/'Yearly GDP'!$B$13)*100</f>
        <v>457.58064516129025</v>
      </c>
      <c r="G141" s="15">
        <f t="shared" si="16"/>
        <v>4.8030739673390971E-2</v>
      </c>
      <c r="H141" s="14">
        <f t="shared" si="17"/>
        <v>0.56433720683105371</v>
      </c>
      <c r="I141" s="7">
        <f t="shared" si="18"/>
        <v>0.44700000000000001</v>
      </c>
      <c r="J141" s="7">
        <f t="shared" si="19"/>
        <v>0.36</v>
      </c>
      <c r="K141" s="16">
        <f t="shared" si="20"/>
        <v>0.19900000000000001</v>
      </c>
      <c r="L141" s="16">
        <f t="shared" si="21"/>
        <v>0.54100000000000004</v>
      </c>
      <c r="M141" s="16">
        <f t="shared" si="22"/>
        <v>0.38240000000000002</v>
      </c>
      <c r="N141" s="7">
        <v>7964.8</v>
      </c>
      <c r="O141" s="7">
        <v>11877.45</v>
      </c>
      <c r="P141" s="13">
        <f t="shared" si="23"/>
        <v>8.320253368564523E-2</v>
      </c>
    </row>
    <row r="142" spans="1:16" x14ac:dyDescent="0.3">
      <c r="A142" s="6">
        <v>41913</v>
      </c>
      <c r="B142" s="7">
        <v>8322.2000000000007</v>
      </c>
      <c r="C142" s="7">
        <v>21.58</v>
      </c>
      <c r="D142" s="7">
        <v>3.51</v>
      </c>
      <c r="E142" s="7">
        <v>8.2780000000000005</v>
      </c>
      <c r="F142" s="7">
        <f>(E142/'Yearly GDP'!$B$13)*100</f>
        <v>445.05376344086017</v>
      </c>
      <c r="G142" s="15">
        <f t="shared" si="16"/>
        <v>4.6339202965708995E-2</v>
      </c>
      <c r="H142" s="14">
        <f t="shared" si="17"/>
        <v>0.5597874240844285</v>
      </c>
      <c r="I142" s="7">
        <f t="shared" si="18"/>
        <v>0.53700000000000003</v>
      </c>
      <c r="J142" s="7">
        <f t="shared" si="19"/>
        <v>0.45100000000000001</v>
      </c>
      <c r="K142" s="16">
        <f t="shared" si="20"/>
        <v>0.184</v>
      </c>
      <c r="L142" s="16">
        <f t="shared" si="21"/>
        <v>0.50700000000000001</v>
      </c>
      <c r="M142" s="16">
        <f t="shared" si="22"/>
        <v>0.44040000000000007</v>
      </c>
      <c r="N142" s="7">
        <v>8322.2000000000007</v>
      </c>
      <c r="O142" s="7">
        <v>12056.05</v>
      </c>
      <c r="P142" s="13">
        <f t="shared" si="23"/>
        <v>7.6944638194968773E-2</v>
      </c>
    </row>
    <row r="143" spans="1:16" x14ac:dyDescent="0.3">
      <c r="A143" s="6">
        <v>41944</v>
      </c>
      <c r="B143" s="7">
        <v>8588.25</v>
      </c>
      <c r="C143" s="7">
        <v>21.94</v>
      </c>
      <c r="D143" s="7">
        <v>3.63</v>
      </c>
      <c r="E143" s="7">
        <v>8.0869999999999997</v>
      </c>
      <c r="F143" s="7">
        <f>(E143/'Yearly GDP'!$B$13)*100</f>
        <v>434.78494623655911</v>
      </c>
      <c r="G143" s="15">
        <f t="shared" si="16"/>
        <v>4.5578851412944391E-2</v>
      </c>
      <c r="H143" s="14">
        <f t="shared" si="17"/>
        <v>0.56360642281370588</v>
      </c>
      <c r="I143" s="7">
        <f t="shared" si="18"/>
        <v>0.56299999999999994</v>
      </c>
      <c r="J143" s="7">
        <f t="shared" si="19"/>
        <v>0.54500000000000004</v>
      </c>
      <c r="K143" s="16">
        <f t="shared" si="20"/>
        <v>0.19500000000000001</v>
      </c>
      <c r="L143" s="16">
        <f t="shared" si="21"/>
        <v>0.5</v>
      </c>
      <c r="M143" s="16">
        <f t="shared" si="22"/>
        <v>0.47319999999999995</v>
      </c>
      <c r="N143" s="7">
        <v>8588.25</v>
      </c>
      <c r="O143" s="7">
        <v>12168.45</v>
      </c>
      <c r="P143" s="13">
        <f t="shared" si="23"/>
        <v>7.2176086879796486E-2</v>
      </c>
    </row>
    <row r="144" spans="1:16" x14ac:dyDescent="0.3">
      <c r="A144" s="6">
        <v>41974</v>
      </c>
      <c r="B144" s="7">
        <v>8282.7000000000007</v>
      </c>
      <c r="C144" s="7">
        <v>21.16</v>
      </c>
      <c r="D144" s="7">
        <v>3.49</v>
      </c>
      <c r="E144" s="7">
        <v>7.8550000000000004</v>
      </c>
      <c r="F144" s="7">
        <f>(E144/'Yearly GDP'!$B$13)*100</f>
        <v>422.31182795698919</v>
      </c>
      <c r="G144" s="15">
        <f t="shared" si="16"/>
        <v>4.725897920604915E-2</v>
      </c>
      <c r="H144" s="14">
        <f t="shared" si="17"/>
        <v>0.60164200135008461</v>
      </c>
      <c r="I144" s="7">
        <f t="shared" si="18"/>
        <v>0.48399999999999999</v>
      </c>
      <c r="J144" s="7">
        <f t="shared" si="19"/>
        <v>0.42399999999999999</v>
      </c>
      <c r="K144" s="16">
        <f t="shared" si="20"/>
        <v>0.34899999999999998</v>
      </c>
      <c r="L144" s="16">
        <f t="shared" si="21"/>
        <v>0.47699999999999998</v>
      </c>
      <c r="M144" s="16">
        <f t="shared" si="22"/>
        <v>0.45279999999999998</v>
      </c>
      <c r="N144" s="7">
        <v>8282.7000000000007</v>
      </c>
      <c r="O144" s="7">
        <v>11962.1</v>
      </c>
      <c r="P144" s="13">
        <f t="shared" si="23"/>
        <v>7.6284533627173357E-2</v>
      </c>
    </row>
    <row r="145" spans="1:16" x14ac:dyDescent="0.3">
      <c r="A145" s="6">
        <v>42005</v>
      </c>
      <c r="B145" s="7">
        <v>8761.4</v>
      </c>
      <c r="C145" s="7">
        <v>22.25</v>
      </c>
      <c r="D145" s="7">
        <v>3.69</v>
      </c>
      <c r="E145" s="7">
        <v>7.7119999999999997</v>
      </c>
      <c r="F145" s="7">
        <f>(E145/'Yearly GDP'!$B$14)*100</f>
        <v>378.03921568627447</v>
      </c>
      <c r="G145" s="15">
        <f t="shared" si="16"/>
        <v>4.49438202247191E-2</v>
      </c>
      <c r="H145" s="14">
        <f t="shared" si="17"/>
        <v>0.58277775187654435</v>
      </c>
      <c r="I145" s="7">
        <f t="shared" si="18"/>
        <v>0.61599999999999999</v>
      </c>
      <c r="J145" s="7">
        <f t="shared" si="19"/>
        <v>0.59</v>
      </c>
      <c r="K145" s="16">
        <f t="shared" si="20"/>
        <v>0.26300000000000001</v>
      </c>
      <c r="L145" s="16">
        <f t="shared" si="21"/>
        <v>0.432</v>
      </c>
      <c r="M145" s="16">
        <f t="shared" si="22"/>
        <v>0.53060000000000007</v>
      </c>
      <c r="N145" s="7">
        <v>8761.4</v>
      </c>
      <c r="O145" s="7">
        <v>11201.75</v>
      </c>
      <c r="P145" s="13">
        <f t="shared" si="23"/>
        <v>5.0370397315907312E-2</v>
      </c>
    </row>
    <row r="146" spans="1:16" x14ac:dyDescent="0.3">
      <c r="A146" s="6">
        <v>42036</v>
      </c>
      <c r="B146" s="7">
        <v>8491</v>
      </c>
      <c r="C146" s="7">
        <v>22.7</v>
      </c>
      <c r="D146" s="7">
        <v>3.65</v>
      </c>
      <c r="E146" s="7">
        <v>7.7380000000000004</v>
      </c>
      <c r="F146" s="7">
        <f>(E146/'Yearly GDP'!$B$14)*100</f>
        <v>379.31372549019613</v>
      </c>
      <c r="G146" s="15">
        <f t="shared" si="16"/>
        <v>4.405286343612335E-2</v>
      </c>
      <c r="H146" s="14">
        <f t="shared" si="17"/>
        <v>0.56930554970435965</v>
      </c>
      <c r="I146" s="7">
        <f t="shared" si="18"/>
        <v>0.68</v>
      </c>
      <c r="J146" s="7">
        <f t="shared" si="19"/>
        <v>0.56000000000000005</v>
      </c>
      <c r="K146" s="16">
        <f t="shared" si="20"/>
        <v>0.221</v>
      </c>
      <c r="L146" s="16">
        <f t="shared" si="21"/>
        <v>0.436</v>
      </c>
      <c r="M146" s="16">
        <f t="shared" si="22"/>
        <v>0.54100000000000004</v>
      </c>
      <c r="N146" s="7">
        <v>8491</v>
      </c>
      <c r="O146" s="7">
        <v>8597.75</v>
      </c>
      <c r="P146" s="13">
        <f t="shared" si="23"/>
        <v>2.5018769046671885E-3</v>
      </c>
    </row>
    <row r="147" spans="1:16" x14ac:dyDescent="0.3">
      <c r="A147" s="6">
        <v>42064</v>
      </c>
      <c r="B147" s="7">
        <v>8181.5</v>
      </c>
      <c r="C147" s="7">
        <v>22.07</v>
      </c>
      <c r="D147" s="7">
        <v>3.53</v>
      </c>
      <c r="E147" s="7">
        <v>7.86</v>
      </c>
      <c r="F147" s="7">
        <f>(E147/'Yearly GDP'!$B$14)*100</f>
        <v>385.29411764705884</v>
      </c>
      <c r="G147" s="15">
        <f t="shared" si="16"/>
        <v>4.5310376076121428E-2</v>
      </c>
      <c r="H147" s="14">
        <f t="shared" si="17"/>
        <v>0.57646788900917845</v>
      </c>
      <c r="I147" s="7">
        <f t="shared" si="18"/>
        <v>0.59</v>
      </c>
      <c r="J147" s="7">
        <f t="shared" si="19"/>
        <v>0.46600000000000003</v>
      </c>
      <c r="K147" s="16">
        <f t="shared" si="20"/>
        <v>0.24399999999999999</v>
      </c>
      <c r="L147" s="16">
        <f t="shared" si="21"/>
        <v>0.46200000000000002</v>
      </c>
      <c r="M147" s="16">
        <f t="shared" si="22"/>
        <v>0.48560000000000003</v>
      </c>
      <c r="N147" s="7">
        <v>8181.5</v>
      </c>
      <c r="O147" s="7">
        <v>9859.9</v>
      </c>
      <c r="P147" s="13">
        <f t="shared" si="23"/>
        <v>3.8025243422715294E-2</v>
      </c>
    </row>
    <row r="148" spans="1:16" x14ac:dyDescent="0.3">
      <c r="A148" s="6">
        <v>42095</v>
      </c>
      <c r="B148" s="7">
        <v>8433.65</v>
      </c>
      <c r="C148" s="7">
        <v>23.12</v>
      </c>
      <c r="D148" s="7">
        <v>3.66</v>
      </c>
      <c r="E148" s="7">
        <v>7.8150000000000004</v>
      </c>
      <c r="F148" s="7">
        <f>(E148/'Yearly GDP'!$B$14)*100</f>
        <v>383.08823529411768</v>
      </c>
      <c r="G148" s="15">
        <f t="shared" si="16"/>
        <v>4.3252595155709339E-2</v>
      </c>
      <c r="H148" s="14">
        <f t="shared" si="17"/>
        <v>0.55345611203722755</v>
      </c>
      <c r="I148" s="7">
        <f t="shared" si="18"/>
        <v>0.71799999999999997</v>
      </c>
      <c r="J148" s="7">
        <f t="shared" si="19"/>
        <v>0.57499999999999996</v>
      </c>
      <c r="K148" s="16">
        <f t="shared" si="20"/>
        <v>0.157</v>
      </c>
      <c r="L148" s="16">
        <f t="shared" si="21"/>
        <v>0.45800000000000002</v>
      </c>
      <c r="M148" s="16">
        <f t="shared" si="22"/>
        <v>0.54200000000000004</v>
      </c>
      <c r="N148" s="7">
        <v>8433.65</v>
      </c>
      <c r="O148" s="7">
        <v>9580.2999999999993</v>
      </c>
      <c r="P148" s="13">
        <f t="shared" si="23"/>
        <v>2.5823649291455864E-2</v>
      </c>
    </row>
    <row r="149" spans="1:16" x14ac:dyDescent="0.3">
      <c r="A149" s="6">
        <v>42125</v>
      </c>
      <c r="B149" s="7">
        <v>8368.5</v>
      </c>
      <c r="C149" s="7">
        <v>23.19</v>
      </c>
      <c r="D149" s="7">
        <v>3.48</v>
      </c>
      <c r="E149" s="7">
        <v>7.8609999999999998</v>
      </c>
      <c r="F149" s="7">
        <f>(E149/'Yearly GDP'!$B$14)*100</f>
        <v>385.34313725490193</v>
      </c>
      <c r="G149" s="15">
        <f t="shared" si="16"/>
        <v>4.3122035360068992E-2</v>
      </c>
      <c r="H149" s="14">
        <f t="shared" si="17"/>
        <v>0.54855661315442039</v>
      </c>
      <c r="I149" s="7">
        <f t="shared" si="18"/>
        <v>0.73299999999999998</v>
      </c>
      <c r="J149" s="7">
        <f t="shared" si="19"/>
        <v>0.40899999999999997</v>
      </c>
      <c r="K149" s="16">
        <f t="shared" si="20"/>
        <v>0.14199999999999999</v>
      </c>
      <c r="L149" s="16">
        <f t="shared" si="21"/>
        <v>0.46600000000000003</v>
      </c>
      <c r="M149" s="16">
        <f t="shared" si="22"/>
        <v>0.51019999999999999</v>
      </c>
      <c r="N149" s="7">
        <v>8368.5</v>
      </c>
      <c r="O149" s="7">
        <v>10302.1</v>
      </c>
      <c r="P149" s="13">
        <f t="shared" si="23"/>
        <v>4.2450946842779613E-2</v>
      </c>
    </row>
    <row r="150" spans="1:16" x14ac:dyDescent="0.3">
      <c r="A150" s="6">
        <v>42156</v>
      </c>
      <c r="B150" s="7">
        <v>8532.85</v>
      </c>
      <c r="C150" s="7">
        <v>23.53</v>
      </c>
      <c r="D150" s="7">
        <v>3.5</v>
      </c>
      <c r="E150" s="7">
        <v>7.806</v>
      </c>
      <c r="F150" s="7">
        <f>(E150/'Yearly GDP'!$B$14)*100</f>
        <v>382.64705882352945</v>
      </c>
      <c r="G150" s="15">
        <f t="shared" si="16"/>
        <v>4.2498937526561836E-2</v>
      </c>
      <c r="H150" s="14">
        <f t="shared" si="17"/>
        <v>0.54443937389907548</v>
      </c>
      <c r="I150" s="7">
        <f t="shared" si="18"/>
        <v>0.76600000000000001</v>
      </c>
      <c r="J150" s="7">
        <f t="shared" si="19"/>
        <v>0.436</v>
      </c>
      <c r="K150" s="16">
        <f t="shared" si="20"/>
        <v>0.13500000000000001</v>
      </c>
      <c r="L150" s="16">
        <f t="shared" si="21"/>
        <v>0.45400000000000001</v>
      </c>
      <c r="M150" s="16">
        <f t="shared" si="22"/>
        <v>0.52980000000000005</v>
      </c>
      <c r="N150" s="7">
        <v>8532.85</v>
      </c>
      <c r="O150" s="7">
        <v>11073.45</v>
      </c>
      <c r="P150" s="13">
        <f t="shared" si="23"/>
        <v>5.3507829511414862E-2</v>
      </c>
    </row>
    <row r="151" spans="1:16" x14ac:dyDescent="0.3">
      <c r="A151" s="6">
        <v>42186</v>
      </c>
      <c r="B151" s="7">
        <v>7971.3</v>
      </c>
      <c r="C151" s="7">
        <v>22.08</v>
      </c>
      <c r="D151" s="7">
        <v>3.21</v>
      </c>
      <c r="E151" s="7">
        <v>7.7839999999999998</v>
      </c>
      <c r="F151" s="7">
        <f>(E151/'Yearly GDP'!$B$14)*100</f>
        <v>381.56862745098039</v>
      </c>
      <c r="G151" s="15">
        <f t="shared" si="16"/>
        <v>4.5289855072463775E-2</v>
      </c>
      <c r="H151" s="14">
        <f t="shared" si="17"/>
        <v>0.58183267050955523</v>
      </c>
      <c r="I151" s="7">
        <f t="shared" si="18"/>
        <v>0.59299999999999997</v>
      </c>
      <c r="J151" s="7">
        <f t="shared" si="19"/>
        <v>0.248</v>
      </c>
      <c r="K151" s="16">
        <f t="shared" si="20"/>
        <v>0.255</v>
      </c>
      <c r="L151" s="16">
        <f t="shared" si="21"/>
        <v>0.44700000000000001</v>
      </c>
      <c r="M151" s="16">
        <f t="shared" si="22"/>
        <v>0.44839999999999997</v>
      </c>
      <c r="N151" s="7">
        <v>7971.3</v>
      </c>
      <c r="O151" s="7">
        <v>11387.5</v>
      </c>
      <c r="P151" s="13">
        <f t="shared" si="23"/>
        <v>7.3939576522951134E-2</v>
      </c>
    </row>
    <row r="152" spans="1:16" x14ac:dyDescent="0.3">
      <c r="A152" s="6">
        <v>42217</v>
      </c>
      <c r="B152" s="7">
        <v>7948.9</v>
      </c>
      <c r="C152" s="7">
        <v>22.21</v>
      </c>
      <c r="D152" s="7">
        <v>3.22</v>
      </c>
      <c r="E152" s="7">
        <v>7.5389999999999997</v>
      </c>
      <c r="F152" s="7">
        <f>(E152/'Yearly GDP'!$B$14)*100</f>
        <v>369.55882352941171</v>
      </c>
      <c r="G152" s="15">
        <f t="shared" si="16"/>
        <v>4.5024763619990991E-2</v>
      </c>
      <c r="H152" s="14">
        <f t="shared" si="17"/>
        <v>0.5972246136091125</v>
      </c>
      <c r="I152" s="7">
        <f t="shared" si="18"/>
        <v>0.60499999999999998</v>
      </c>
      <c r="J152" s="7">
        <f t="shared" si="19"/>
        <v>0.251</v>
      </c>
      <c r="K152" s="16">
        <f t="shared" si="20"/>
        <v>0.32700000000000001</v>
      </c>
      <c r="L152" s="16">
        <f t="shared" si="21"/>
        <v>0.42399999999999999</v>
      </c>
      <c r="M152" s="16">
        <f t="shared" si="22"/>
        <v>0.47280000000000005</v>
      </c>
      <c r="N152" s="7">
        <v>7948.9</v>
      </c>
      <c r="O152" s="7">
        <v>11247.55</v>
      </c>
      <c r="P152" s="13">
        <f t="shared" si="23"/>
        <v>7.1889902592176202E-2</v>
      </c>
    </row>
    <row r="153" spans="1:16" x14ac:dyDescent="0.3">
      <c r="A153" s="6">
        <v>42248</v>
      </c>
      <c r="B153" s="7">
        <v>8065.8</v>
      </c>
      <c r="C153" s="7">
        <v>22.06</v>
      </c>
      <c r="D153" s="7">
        <v>3.23</v>
      </c>
      <c r="E153" s="7">
        <v>7.64</v>
      </c>
      <c r="F153" s="7">
        <f>(E153/'Yearly GDP'!$B$14)*100</f>
        <v>374.50980392156856</v>
      </c>
      <c r="G153" s="15">
        <f t="shared" si="16"/>
        <v>4.5330915684496827E-2</v>
      </c>
      <c r="H153" s="14">
        <f t="shared" si="17"/>
        <v>0.59333659272901607</v>
      </c>
      <c r="I153" s="7">
        <f t="shared" si="18"/>
        <v>0.58599999999999997</v>
      </c>
      <c r="J153" s="7">
        <f t="shared" si="19"/>
        <v>0.255</v>
      </c>
      <c r="K153" s="16">
        <f t="shared" si="20"/>
        <v>0.30399999999999999</v>
      </c>
      <c r="L153" s="16">
        <f t="shared" si="21"/>
        <v>0.42799999999999999</v>
      </c>
      <c r="M153" s="16">
        <f t="shared" si="22"/>
        <v>0.46060000000000001</v>
      </c>
      <c r="N153" s="7">
        <v>8065.8</v>
      </c>
      <c r="O153" s="7">
        <v>11642.4</v>
      </c>
      <c r="P153" s="13">
        <f t="shared" si="23"/>
        <v>7.6165371787010772E-2</v>
      </c>
    </row>
    <row r="154" spans="1:16" x14ac:dyDescent="0.3">
      <c r="A154" s="6">
        <v>42278</v>
      </c>
      <c r="B154" s="7">
        <v>7935.25</v>
      </c>
      <c r="C154" s="7">
        <v>21.45</v>
      </c>
      <c r="D154" s="7">
        <v>3.19</v>
      </c>
      <c r="E154" s="7">
        <v>7.7859999999999996</v>
      </c>
      <c r="F154" s="7">
        <f>(E154/'Yearly GDP'!$B$14)*100</f>
        <v>381.66666666666663</v>
      </c>
      <c r="G154" s="15">
        <f t="shared" si="16"/>
        <v>4.6620046620046623E-2</v>
      </c>
      <c r="H154" s="14">
        <f t="shared" si="17"/>
        <v>0.59876761649173682</v>
      </c>
      <c r="I154" s="7">
        <f t="shared" si="18"/>
        <v>0.52600000000000002</v>
      </c>
      <c r="J154" s="7">
        <f t="shared" si="19"/>
        <v>0.22500000000000001</v>
      </c>
      <c r="K154" s="16">
        <f t="shared" si="20"/>
        <v>0.33800000000000002</v>
      </c>
      <c r="L154" s="16">
        <f t="shared" si="21"/>
        <v>0.45100000000000001</v>
      </c>
      <c r="M154" s="16">
        <f t="shared" si="22"/>
        <v>0.43280000000000002</v>
      </c>
      <c r="N154" s="7">
        <v>7935.25</v>
      </c>
      <c r="O154" s="7">
        <v>12968.95</v>
      </c>
      <c r="P154" s="13">
        <f t="shared" si="23"/>
        <v>0.10323705535530237</v>
      </c>
    </row>
    <row r="155" spans="1:16" x14ac:dyDescent="0.3">
      <c r="A155" s="6">
        <v>42309</v>
      </c>
      <c r="B155" s="7">
        <v>7946.35</v>
      </c>
      <c r="C155" s="7">
        <v>21.49</v>
      </c>
      <c r="D155" s="7">
        <v>3.19</v>
      </c>
      <c r="E155" s="7">
        <v>7.758</v>
      </c>
      <c r="F155" s="7">
        <f>(E155/'Yearly GDP'!$B$14)*100</f>
        <v>380.29411764705878</v>
      </c>
      <c r="G155" s="15">
        <f t="shared" si="16"/>
        <v>4.6533271288971619E-2</v>
      </c>
      <c r="H155" s="14">
        <f t="shared" si="17"/>
        <v>0.59981014809192601</v>
      </c>
      <c r="I155" s="7">
        <f t="shared" si="18"/>
        <v>0.53</v>
      </c>
      <c r="J155" s="7">
        <f t="shared" si="19"/>
        <v>0.22500000000000001</v>
      </c>
      <c r="K155" s="16">
        <f t="shared" si="20"/>
        <v>0.34200000000000003</v>
      </c>
      <c r="L155" s="16">
        <f t="shared" si="21"/>
        <v>0.439</v>
      </c>
      <c r="M155" s="16">
        <f t="shared" si="22"/>
        <v>0.43759999999999999</v>
      </c>
      <c r="N155" s="7">
        <v>7946.35</v>
      </c>
      <c r="O155" s="7">
        <v>13981.75</v>
      </c>
      <c r="P155" s="13">
        <f t="shared" si="23"/>
        <v>0.11964093573389833</v>
      </c>
    </row>
    <row r="156" spans="1:16" x14ac:dyDescent="0.3">
      <c r="A156" s="6">
        <v>42339</v>
      </c>
      <c r="B156" s="7">
        <v>7563.55</v>
      </c>
      <c r="C156" s="7">
        <v>20.22</v>
      </c>
      <c r="D156" s="7">
        <v>3.03</v>
      </c>
      <c r="E156" s="7">
        <v>7.7789999999999999</v>
      </c>
      <c r="F156" s="7">
        <f>(E156/'Yearly GDP'!$B$14)*100</f>
        <v>381.3235294117647</v>
      </c>
      <c r="G156" s="15">
        <f t="shared" si="16"/>
        <v>4.9455984174085067E-2</v>
      </c>
      <c r="H156" s="14">
        <f t="shared" si="17"/>
        <v>0.63576274809210787</v>
      </c>
      <c r="I156" s="7">
        <f t="shared" si="18"/>
        <v>0.35299999999999998</v>
      </c>
      <c r="J156" s="7">
        <f t="shared" si="19"/>
        <v>0.154</v>
      </c>
      <c r="K156" s="16">
        <f t="shared" si="20"/>
        <v>0.52600000000000002</v>
      </c>
      <c r="L156" s="16">
        <f t="shared" si="21"/>
        <v>0.443</v>
      </c>
      <c r="M156" s="16">
        <f t="shared" si="22"/>
        <v>0.3886</v>
      </c>
      <c r="N156" s="7">
        <v>7563.55</v>
      </c>
      <c r="O156" s="7">
        <v>13634.6</v>
      </c>
      <c r="P156" s="13">
        <f t="shared" si="23"/>
        <v>0.12507984287354468</v>
      </c>
    </row>
    <row r="157" spans="1:16" x14ac:dyDescent="0.3">
      <c r="A157" s="6">
        <v>42370</v>
      </c>
      <c r="B157" s="7">
        <v>6987.05</v>
      </c>
      <c r="C157" s="7">
        <v>18.899999999999999</v>
      </c>
      <c r="D157" s="7">
        <v>2.81</v>
      </c>
      <c r="E157" s="7">
        <v>7.6230000000000002</v>
      </c>
      <c r="F157" s="7">
        <f>(E157/'Yearly GDP'!$B$15)*100</f>
        <v>363</v>
      </c>
      <c r="G157" s="15">
        <f t="shared" si="16"/>
        <v>5.2910052910052914E-2</v>
      </c>
      <c r="H157" s="14">
        <f t="shared" si="17"/>
        <v>0.69408438816808227</v>
      </c>
      <c r="I157" s="7">
        <f t="shared" si="18"/>
        <v>0.29299999999999998</v>
      </c>
      <c r="J157" s="7">
        <f t="shared" si="19"/>
        <v>0.06</v>
      </c>
      <c r="K157" s="16">
        <f t="shared" si="20"/>
        <v>0.748</v>
      </c>
      <c r="L157" s="16">
        <f t="shared" si="21"/>
        <v>0.42099999999999999</v>
      </c>
      <c r="M157" s="16">
        <f t="shared" si="22"/>
        <v>0.39460000000000006</v>
      </c>
      <c r="N157" s="7">
        <v>6987.05</v>
      </c>
      <c r="O157" s="7">
        <v>14529.15</v>
      </c>
      <c r="P157" s="13">
        <f t="shared" si="23"/>
        <v>0.15768197460674815</v>
      </c>
    </row>
    <row r="158" spans="1:16" x14ac:dyDescent="0.3">
      <c r="A158" s="6">
        <v>42401</v>
      </c>
      <c r="B158" s="7">
        <v>7738.4</v>
      </c>
      <c r="C158" s="7">
        <v>20.89</v>
      </c>
      <c r="D158" s="7">
        <v>3.1</v>
      </c>
      <c r="E158" s="7">
        <v>7.4589999999999996</v>
      </c>
      <c r="F158" s="7">
        <f>(E158/'Yearly GDP'!$B$15)*100</f>
        <v>355.19047619047615</v>
      </c>
      <c r="G158" s="15">
        <f t="shared" si="16"/>
        <v>4.7869794159885112E-2</v>
      </c>
      <c r="H158" s="14">
        <f t="shared" si="17"/>
        <v>0.64177227724742081</v>
      </c>
      <c r="I158" s="7">
        <f t="shared" si="18"/>
        <v>0.46200000000000002</v>
      </c>
      <c r="J158" s="7">
        <f t="shared" si="19"/>
        <v>0.184</v>
      </c>
      <c r="K158" s="16">
        <f t="shared" si="20"/>
        <v>0.56699999999999995</v>
      </c>
      <c r="L158" s="16">
        <f t="shared" si="21"/>
        <v>0.41299999999999998</v>
      </c>
      <c r="M158" s="16">
        <f t="shared" si="22"/>
        <v>0.45240000000000002</v>
      </c>
      <c r="N158" s="7">
        <v>7738.4</v>
      </c>
      <c r="O158" s="7">
        <v>14690.7</v>
      </c>
      <c r="P158" s="13">
        <f t="shared" si="23"/>
        <v>0.13678481327741787</v>
      </c>
    </row>
    <row r="159" spans="1:16" x14ac:dyDescent="0.3">
      <c r="A159" s="6">
        <v>42430</v>
      </c>
      <c r="B159" s="7">
        <v>7849.8</v>
      </c>
      <c r="C159" s="7">
        <v>21.24</v>
      </c>
      <c r="D159" s="7">
        <v>3.27</v>
      </c>
      <c r="E159" s="7">
        <v>7.4349999999999996</v>
      </c>
      <c r="F159" s="7">
        <f>(E159/'Yearly GDP'!$B$15)*100</f>
        <v>354.04761904761904</v>
      </c>
      <c r="G159" s="15">
        <f t="shared" si="16"/>
        <v>4.708097928436912E-2</v>
      </c>
      <c r="H159" s="14">
        <f t="shared" si="17"/>
        <v>0.63323442211659886</v>
      </c>
      <c r="I159" s="7">
        <f t="shared" si="18"/>
        <v>0.496</v>
      </c>
      <c r="J159" s="7">
        <f t="shared" si="19"/>
        <v>0.27400000000000002</v>
      </c>
      <c r="K159" s="16">
        <f t="shared" si="20"/>
        <v>0.51500000000000001</v>
      </c>
      <c r="L159" s="16">
        <f t="shared" si="21"/>
        <v>0.40600000000000003</v>
      </c>
      <c r="M159" s="16">
        <f t="shared" si="22"/>
        <v>0.47500000000000009</v>
      </c>
      <c r="N159" s="7">
        <v>7849.8</v>
      </c>
      <c r="O159" s="7">
        <v>14631.1</v>
      </c>
      <c r="P159" s="13">
        <f t="shared" si="23"/>
        <v>0.13261856865916011</v>
      </c>
    </row>
    <row r="160" spans="1:16" x14ac:dyDescent="0.3">
      <c r="A160" s="6">
        <v>42461</v>
      </c>
      <c r="B160" s="7">
        <v>8160.1</v>
      </c>
      <c r="C160" s="7">
        <v>22.6</v>
      </c>
      <c r="D160" s="7">
        <v>3.4</v>
      </c>
      <c r="E160" s="7">
        <v>7.4710000000000001</v>
      </c>
      <c r="F160" s="7">
        <f>(E160/'Yearly GDP'!$B$15)*100</f>
        <v>355.76190476190476</v>
      </c>
      <c r="G160" s="15">
        <f t="shared" si="16"/>
        <v>4.4247787610619468E-2</v>
      </c>
      <c r="H160" s="14">
        <f t="shared" si="17"/>
        <v>0.59226057570097002</v>
      </c>
      <c r="I160" s="7">
        <f t="shared" si="18"/>
        <v>0.67600000000000005</v>
      </c>
      <c r="J160" s="7">
        <f t="shared" si="19"/>
        <v>0.34499999999999997</v>
      </c>
      <c r="K160" s="16">
        <f t="shared" si="20"/>
        <v>0.29299999999999998</v>
      </c>
      <c r="L160" s="16">
        <f t="shared" si="21"/>
        <v>0.41699999999999998</v>
      </c>
      <c r="M160" s="16">
        <f t="shared" si="22"/>
        <v>0.51460000000000006</v>
      </c>
      <c r="N160" s="7">
        <v>8160.1</v>
      </c>
      <c r="O160" s="7">
        <v>15582.8</v>
      </c>
      <c r="P160" s="13">
        <f t="shared" si="23"/>
        <v>0.13812510483962259</v>
      </c>
    </row>
    <row r="161" spans="1:16" x14ac:dyDescent="0.3">
      <c r="A161" s="6">
        <v>42491</v>
      </c>
      <c r="B161" s="7">
        <v>8287.75</v>
      </c>
      <c r="C161" s="7">
        <v>22.75</v>
      </c>
      <c r="D161" s="7">
        <v>3.37</v>
      </c>
      <c r="E161" s="7">
        <v>7.4480000000000004</v>
      </c>
      <c r="F161" s="7">
        <f>(E161/'Yearly GDP'!$B$15)*100</f>
        <v>354.66666666666669</v>
      </c>
      <c r="G161" s="15">
        <f t="shared" si="16"/>
        <v>4.3956043956043959E-2</v>
      </c>
      <c r="H161" s="14">
        <f t="shared" si="17"/>
        <v>0.5901724483894194</v>
      </c>
      <c r="I161" s="7">
        <f t="shared" si="18"/>
        <v>0.69099999999999995</v>
      </c>
      <c r="J161" s="7">
        <f t="shared" si="19"/>
        <v>0.315</v>
      </c>
      <c r="K161" s="16">
        <f t="shared" si="20"/>
        <v>0.28100000000000003</v>
      </c>
      <c r="L161" s="16">
        <f t="shared" si="21"/>
        <v>0.40899999999999997</v>
      </c>
      <c r="M161" s="16">
        <f t="shared" si="22"/>
        <v>0.51380000000000003</v>
      </c>
      <c r="N161" s="7">
        <v>8287.75</v>
      </c>
      <c r="O161" s="7">
        <v>15721.5</v>
      </c>
      <c r="P161" s="13">
        <f t="shared" si="23"/>
        <v>0.13660998664844293</v>
      </c>
    </row>
    <row r="162" spans="1:16" x14ac:dyDescent="0.3">
      <c r="A162" s="6">
        <v>42522</v>
      </c>
      <c r="B162" s="7">
        <v>8638.5</v>
      </c>
      <c r="C162" s="7">
        <v>23.62</v>
      </c>
      <c r="D162" s="7">
        <v>3.38</v>
      </c>
      <c r="E162" s="7">
        <v>7.1630000000000003</v>
      </c>
      <c r="F162" s="7">
        <f>(E162/'Yearly GDP'!$B$15)*100</f>
        <v>341.09523809523807</v>
      </c>
      <c r="G162" s="15">
        <f t="shared" si="16"/>
        <v>4.2337002540220152E-2</v>
      </c>
      <c r="H162" s="14">
        <f t="shared" si="17"/>
        <v>0.59105127097892163</v>
      </c>
      <c r="I162" s="7">
        <f t="shared" si="18"/>
        <v>0.77</v>
      </c>
      <c r="J162" s="7">
        <f t="shared" si="19"/>
        <v>0.33</v>
      </c>
      <c r="K162" s="16">
        <f t="shared" si="20"/>
        <v>0.28899999999999998</v>
      </c>
      <c r="L162" s="16">
        <f t="shared" si="21"/>
        <v>0.40200000000000002</v>
      </c>
      <c r="M162" s="16">
        <f t="shared" si="22"/>
        <v>0.55140000000000011</v>
      </c>
      <c r="N162" s="7">
        <v>8638.5</v>
      </c>
      <c r="O162" s="7">
        <v>15763.05</v>
      </c>
      <c r="P162" s="13">
        <f t="shared" si="23"/>
        <v>0.12782153555495124</v>
      </c>
    </row>
    <row r="163" spans="1:16" x14ac:dyDescent="0.3">
      <c r="A163" s="6">
        <v>42552</v>
      </c>
      <c r="B163" s="7">
        <v>8786.2000000000007</v>
      </c>
      <c r="C163" s="7">
        <v>24.09</v>
      </c>
      <c r="D163" s="7">
        <v>3.36</v>
      </c>
      <c r="E163" s="7">
        <v>7.11</v>
      </c>
      <c r="F163" s="7">
        <f>(E163/'Yearly GDP'!$B$15)*100</f>
        <v>338.57142857142856</v>
      </c>
      <c r="G163" s="15">
        <f t="shared" si="16"/>
        <v>4.1511000415110001E-2</v>
      </c>
      <c r="H163" s="14">
        <f t="shared" si="17"/>
        <v>0.58383966828565392</v>
      </c>
      <c r="I163" s="7">
        <f t="shared" si="18"/>
        <v>0.77800000000000002</v>
      </c>
      <c r="J163" s="7">
        <f t="shared" si="19"/>
        <v>0.312</v>
      </c>
      <c r="K163" s="16">
        <f t="shared" si="20"/>
        <v>0.27400000000000002</v>
      </c>
      <c r="L163" s="16">
        <f t="shared" si="21"/>
        <v>0.39800000000000002</v>
      </c>
      <c r="M163" s="16">
        <f t="shared" si="22"/>
        <v>0.54880000000000007</v>
      </c>
      <c r="N163" s="7">
        <v>8786.2000000000007</v>
      </c>
      <c r="O163" s="7">
        <v>17132.2</v>
      </c>
      <c r="P163" s="13">
        <f t="shared" si="23"/>
        <v>0.14288467732385279</v>
      </c>
    </row>
    <row r="164" spans="1:16" x14ac:dyDescent="0.3">
      <c r="A164" s="6">
        <v>42583</v>
      </c>
      <c r="B164" s="7">
        <v>8611.15</v>
      </c>
      <c r="C164" s="7">
        <v>23.4</v>
      </c>
      <c r="D164" s="7">
        <v>3.27</v>
      </c>
      <c r="E164" s="7">
        <v>6.9580000000000002</v>
      </c>
      <c r="F164" s="7">
        <f>(E164/'Yearly GDP'!$B$15)*100</f>
        <v>331.33333333333337</v>
      </c>
      <c r="G164" s="15">
        <f t="shared" si="16"/>
        <v>4.2735042735042736E-2</v>
      </c>
      <c r="H164" s="14">
        <f t="shared" si="17"/>
        <v>0.61418572484970868</v>
      </c>
      <c r="I164" s="7">
        <f t="shared" si="18"/>
        <v>0.748</v>
      </c>
      <c r="J164" s="7">
        <f t="shared" si="19"/>
        <v>0.27400000000000002</v>
      </c>
      <c r="K164" s="16">
        <f t="shared" si="20"/>
        <v>0.41699999999999998</v>
      </c>
      <c r="L164" s="16">
        <f t="shared" si="21"/>
        <v>0.39400000000000002</v>
      </c>
      <c r="M164" s="16">
        <f t="shared" si="22"/>
        <v>0.55859999999999999</v>
      </c>
      <c r="N164" s="7">
        <v>8611.15</v>
      </c>
      <c r="O164" s="7">
        <v>17618.150000000001</v>
      </c>
      <c r="P164" s="13">
        <f t="shared" si="23"/>
        <v>0.15393097096164476</v>
      </c>
    </row>
    <row r="165" spans="1:16" x14ac:dyDescent="0.3">
      <c r="A165" s="6">
        <v>42614</v>
      </c>
      <c r="B165" s="7">
        <v>8625.7000000000007</v>
      </c>
      <c r="C165" s="7">
        <v>23.31</v>
      </c>
      <c r="D165" s="7">
        <v>3.27</v>
      </c>
      <c r="E165" s="7">
        <v>6.8849999999999998</v>
      </c>
      <c r="F165" s="7">
        <f>(E165/'Yearly GDP'!$B$15)*100</f>
        <v>327.85714285714283</v>
      </c>
      <c r="G165" s="15">
        <f t="shared" si="16"/>
        <v>4.2900042900042901E-2</v>
      </c>
      <c r="H165" s="14">
        <f t="shared" si="17"/>
        <v>0.62309430501151641</v>
      </c>
      <c r="I165" s="7">
        <f t="shared" si="18"/>
        <v>0.74</v>
      </c>
      <c r="J165" s="7">
        <f t="shared" si="19"/>
        <v>0.27400000000000002</v>
      </c>
      <c r="K165" s="16">
        <f t="shared" si="20"/>
        <v>0.45400000000000001</v>
      </c>
      <c r="L165" s="16">
        <f t="shared" si="21"/>
        <v>0.39</v>
      </c>
      <c r="M165" s="16">
        <f t="shared" si="22"/>
        <v>0.56359999999999999</v>
      </c>
      <c r="N165" s="7">
        <v>8625.7000000000007</v>
      </c>
      <c r="O165" s="7">
        <v>17671.650000000001</v>
      </c>
      <c r="P165" s="13">
        <f t="shared" si="23"/>
        <v>0.1542411422065173</v>
      </c>
    </row>
    <row r="166" spans="1:16" x14ac:dyDescent="0.3">
      <c r="A166" s="6">
        <v>42644</v>
      </c>
      <c r="B166" s="7">
        <v>8224.5</v>
      </c>
      <c r="C166" s="7">
        <v>21.61</v>
      </c>
      <c r="D166" s="7">
        <v>3.12</v>
      </c>
      <c r="E166" s="7">
        <v>6.2430000000000003</v>
      </c>
      <c r="F166" s="7">
        <f>(E166/'Yearly GDP'!$B$15)*100</f>
        <v>297.28571428571428</v>
      </c>
      <c r="G166" s="15">
        <f t="shared" si="16"/>
        <v>4.6274872744099957E-2</v>
      </c>
      <c r="H166" s="14">
        <f t="shared" si="17"/>
        <v>0.74122813942175159</v>
      </c>
      <c r="I166" s="7">
        <f t="shared" si="18"/>
        <v>0.54800000000000004</v>
      </c>
      <c r="J166" s="7">
        <f t="shared" si="19"/>
        <v>0.191</v>
      </c>
      <c r="K166" s="16">
        <f t="shared" si="20"/>
        <v>0.81899999999999995</v>
      </c>
      <c r="L166" s="16">
        <f t="shared" si="21"/>
        <v>0.34499999999999997</v>
      </c>
      <c r="M166" s="16">
        <f t="shared" si="22"/>
        <v>0.55220000000000002</v>
      </c>
      <c r="N166" s="7">
        <v>8224.5</v>
      </c>
      <c r="O166" s="7">
        <v>16983.2</v>
      </c>
      <c r="P166" s="13">
        <f t="shared" si="23"/>
        <v>0.1560643365090344</v>
      </c>
    </row>
    <row r="167" spans="1:16" x14ac:dyDescent="0.3">
      <c r="A167" s="6">
        <v>42675</v>
      </c>
      <c r="B167" s="7">
        <v>8185.8</v>
      </c>
      <c r="C167" s="7">
        <v>21.93</v>
      </c>
      <c r="D167" s="7">
        <v>3.1</v>
      </c>
      <c r="E167" s="7">
        <v>6.5119999999999996</v>
      </c>
      <c r="F167" s="7">
        <f>(E167/'Yearly GDP'!$B$15)*100</f>
        <v>310.09523809523807</v>
      </c>
      <c r="G167" s="15">
        <f t="shared" si="16"/>
        <v>4.5599635202918376E-2</v>
      </c>
      <c r="H167" s="14">
        <f t="shared" si="17"/>
        <v>0.70024009832491374</v>
      </c>
      <c r="I167" s="7">
        <f t="shared" si="18"/>
        <v>0.56000000000000005</v>
      </c>
      <c r="J167" s="7">
        <f t="shared" si="19"/>
        <v>0.184</v>
      </c>
      <c r="K167" s="16">
        <f t="shared" si="20"/>
        <v>0.755</v>
      </c>
      <c r="L167" s="16">
        <f t="shared" si="21"/>
        <v>0.379</v>
      </c>
      <c r="M167" s="16">
        <f t="shared" si="22"/>
        <v>0.53600000000000003</v>
      </c>
      <c r="N167" s="7">
        <v>8185.8</v>
      </c>
      <c r="O167" s="7">
        <v>17354.05</v>
      </c>
      <c r="P167" s="13">
        <f t="shared" si="23"/>
        <v>0.16216540401474444</v>
      </c>
    </row>
    <row r="168" spans="1:16" x14ac:dyDescent="0.3">
      <c r="A168" s="6">
        <v>42705</v>
      </c>
      <c r="B168" s="7">
        <v>8561.2999999999993</v>
      </c>
      <c r="C168" s="7">
        <v>22.86</v>
      </c>
      <c r="D168" s="7">
        <v>3.25</v>
      </c>
      <c r="E168" s="7">
        <v>6.407</v>
      </c>
      <c r="F168" s="7">
        <f>(E168/'Yearly GDP'!$B$15)*100</f>
        <v>305.09523809523807</v>
      </c>
      <c r="G168" s="15">
        <f t="shared" si="16"/>
        <v>4.3744531933508315E-2</v>
      </c>
      <c r="H168" s="14">
        <f t="shared" si="17"/>
        <v>0.68276154102557074</v>
      </c>
      <c r="I168" s="7">
        <f t="shared" si="18"/>
        <v>0.69899999999999995</v>
      </c>
      <c r="J168" s="7">
        <f t="shared" si="19"/>
        <v>0.26600000000000001</v>
      </c>
      <c r="K168" s="16">
        <f t="shared" si="20"/>
        <v>0.71399999999999997</v>
      </c>
      <c r="L168" s="16">
        <f t="shared" si="21"/>
        <v>0.372</v>
      </c>
      <c r="M168" s="16">
        <f t="shared" si="22"/>
        <v>0.60120000000000007</v>
      </c>
      <c r="N168" s="7">
        <v>8561.2999999999993</v>
      </c>
      <c r="O168" s="8">
        <v>17339.849999999999</v>
      </c>
      <c r="P168" s="13">
        <f t="shared" si="23"/>
        <v>0.15159858911465895</v>
      </c>
    </row>
    <row r="169" spans="1:16" x14ac:dyDescent="0.3">
      <c r="A169" s="6">
        <v>42736</v>
      </c>
      <c r="B169" s="7">
        <v>8879.6</v>
      </c>
      <c r="C169" s="7">
        <v>23.13</v>
      </c>
      <c r="D169" s="7">
        <v>3.37</v>
      </c>
      <c r="E169" s="7">
        <v>6.87</v>
      </c>
      <c r="F169" s="7">
        <f>(E169/'Yearly GDP'!$B$16)*100</f>
        <v>300</v>
      </c>
      <c r="G169" s="15">
        <f t="shared" si="16"/>
        <v>4.3233895373973194E-2</v>
      </c>
      <c r="H169" s="14">
        <f t="shared" si="17"/>
        <v>0.62931434314371459</v>
      </c>
      <c r="I169" s="7">
        <f t="shared" si="18"/>
        <v>0.72099999999999997</v>
      </c>
      <c r="J169" s="7">
        <f t="shared" si="19"/>
        <v>0.315</v>
      </c>
      <c r="K169" s="16">
        <f t="shared" si="20"/>
        <v>0.50700000000000001</v>
      </c>
      <c r="L169" s="16">
        <f t="shared" si="21"/>
        <v>0.35699999999999998</v>
      </c>
      <c r="M169" s="16">
        <f t="shared" si="22"/>
        <v>0.58140000000000003</v>
      </c>
      <c r="N169" s="7">
        <v>8879.6</v>
      </c>
      <c r="O169" s="8">
        <v>16793.900000000001</v>
      </c>
      <c r="P169" s="13">
        <f t="shared" si="23"/>
        <v>0.13593016377413303</v>
      </c>
    </row>
    <row r="170" spans="1:16" x14ac:dyDescent="0.3">
      <c r="A170" s="6">
        <v>42767</v>
      </c>
      <c r="B170" s="7">
        <v>9173.75</v>
      </c>
      <c r="C170" s="7">
        <v>23.26</v>
      </c>
      <c r="D170" s="7">
        <v>3.5</v>
      </c>
      <c r="E170" s="7">
        <v>6.6580000000000004</v>
      </c>
      <c r="F170" s="7">
        <f>(E170/'Yearly GDP'!$B$16)*100</f>
        <v>290.74235807860265</v>
      </c>
      <c r="G170" s="15">
        <f t="shared" si="16"/>
        <v>4.2992261392949267E-2</v>
      </c>
      <c r="H170" s="14">
        <f t="shared" si="17"/>
        <v>0.64572336126388208</v>
      </c>
      <c r="I170" s="7">
        <f t="shared" si="18"/>
        <v>0.73599999999999999</v>
      </c>
      <c r="J170" s="7">
        <f t="shared" si="19"/>
        <v>0.436</v>
      </c>
      <c r="K170" s="16">
        <f t="shared" si="20"/>
        <v>0.59</v>
      </c>
      <c r="L170" s="16">
        <f t="shared" si="21"/>
        <v>0.315</v>
      </c>
      <c r="M170" s="16">
        <f t="shared" si="22"/>
        <v>0.63660000000000005</v>
      </c>
      <c r="N170" s="7">
        <v>9173.75</v>
      </c>
      <c r="O170" s="8">
        <v>17464.75</v>
      </c>
      <c r="P170" s="13">
        <f t="shared" si="23"/>
        <v>0.13742585100345805</v>
      </c>
    </row>
    <row r="171" spans="1:16" x14ac:dyDescent="0.3">
      <c r="A171" s="6">
        <v>42795</v>
      </c>
      <c r="B171" s="7">
        <v>9304.0499999999993</v>
      </c>
      <c r="C171" s="7">
        <v>23.63</v>
      </c>
      <c r="D171" s="7">
        <v>3.55</v>
      </c>
      <c r="E171" s="7">
        <v>6.9610000000000003</v>
      </c>
      <c r="F171" s="7">
        <f>(E171/'Yearly GDP'!$B$16)*100</f>
        <v>303.97379912663757</v>
      </c>
      <c r="G171" s="15">
        <f t="shared" si="16"/>
        <v>4.2319085907744393E-2</v>
      </c>
      <c r="H171" s="14">
        <f t="shared" si="17"/>
        <v>0.60794549501141204</v>
      </c>
      <c r="I171" s="7">
        <f t="shared" si="18"/>
        <v>0.77400000000000002</v>
      </c>
      <c r="J171" s="7">
        <f t="shared" si="19"/>
        <v>0.496</v>
      </c>
      <c r="K171" s="16">
        <f t="shared" si="20"/>
        <v>0.39</v>
      </c>
      <c r="L171" s="16">
        <f t="shared" si="21"/>
        <v>0.36799999999999999</v>
      </c>
      <c r="M171" s="16">
        <f t="shared" si="22"/>
        <v>0.61320000000000008</v>
      </c>
      <c r="N171" s="7">
        <v>9304.0499999999993</v>
      </c>
      <c r="O171" s="8">
        <v>17102.55</v>
      </c>
      <c r="P171" s="13">
        <f t="shared" si="23"/>
        <v>0.12947797526602844</v>
      </c>
    </row>
    <row r="172" spans="1:16" x14ac:dyDescent="0.3">
      <c r="A172" s="6">
        <v>42826</v>
      </c>
      <c r="B172" s="7">
        <v>9621.25</v>
      </c>
      <c r="C172" s="7">
        <v>24.35</v>
      </c>
      <c r="D172" s="7">
        <v>3.62</v>
      </c>
      <c r="E172" s="7">
        <v>6.6609999999999996</v>
      </c>
      <c r="F172" s="7">
        <f>(E172/'Yearly GDP'!$B$16)*100</f>
        <v>290.87336244541484</v>
      </c>
      <c r="G172" s="15">
        <f t="shared" si="16"/>
        <v>4.1067761806981518E-2</v>
      </c>
      <c r="H172" s="14">
        <f t="shared" si="17"/>
        <v>0.61654048651826332</v>
      </c>
      <c r="I172" s="7">
        <f t="shared" si="18"/>
        <v>0.79300000000000004</v>
      </c>
      <c r="J172" s="7">
        <f t="shared" si="19"/>
        <v>0.53700000000000003</v>
      </c>
      <c r="K172" s="16">
        <f t="shared" si="20"/>
        <v>0.42799999999999999</v>
      </c>
      <c r="L172" s="16">
        <f t="shared" si="21"/>
        <v>0.31900000000000001</v>
      </c>
      <c r="M172" s="16">
        <f t="shared" si="22"/>
        <v>0.64639999999999997</v>
      </c>
      <c r="N172" s="7">
        <v>9621.25</v>
      </c>
      <c r="O172" s="8">
        <v>16584.55</v>
      </c>
      <c r="P172" s="13">
        <f t="shared" si="23"/>
        <v>0.1150502476377151</v>
      </c>
    </row>
    <row r="173" spans="1:16" x14ac:dyDescent="0.3">
      <c r="A173" s="6">
        <v>42856</v>
      </c>
      <c r="B173" s="7">
        <v>9520.9</v>
      </c>
      <c r="C173" s="7">
        <v>24.23</v>
      </c>
      <c r="D173" s="7">
        <v>3.52</v>
      </c>
      <c r="E173" s="7">
        <v>6.5110000000000001</v>
      </c>
      <c r="F173" s="7">
        <f>(E173/'Yearly GDP'!$B$16)*100</f>
        <v>284.32314410480348</v>
      </c>
      <c r="G173" s="15">
        <f t="shared" si="16"/>
        <v>4.1271151465125874E-2</v>
      </c>
      <c r="H173" s="14">
        <f t="shared" si="17"/>
        <v>0.63386809192329707</v>
      </c>
      <c r="I173" s="7">
        <f t="shared" si="18"/>
        <v>0.78500000000000003</v>
      </c>
      <c r="J173" s="7">
        <f t="shared" si="19"/>
        <v>0.46200000000000002</v>
      </c>
      <c r="K173" s="16">
        <f t="shared" si="20"/>
        <v>0.51800000000000002</v>
      </c>
      <c r="L173" s="16">
        <f t="shared" si="21"/>
        <v>0.30399999999999999</v>
      </c>
      <c r="M173" s="16">
        <f t="shared" si="22"/>
        <v>0.64920000000000011</v>
      </c>
      <c r="N173" s="7">
        <v>9520.9</v>
      </c>
      <c r="O173" s="8">
        <v>15780.25</v>
      </c>
      <c r="P173" s="13">
        <f t="shared" si="23"/>
        <v>0.10633633274704946</v>
      </c>
    </row>
    <row r="174" spans="1:16" x14ac:dyDescent="0.3">
      <c r="A174" s="6">
        <v>42887</v>
      </c>
      <c r="B174" s="7">
        <v>10077.1</v>
      </c>
      <c r="C174" s="7">
        <v>25.69</v>
      </c>
      <c r="D174" s="7">
        <v>3.51</v>
      </c>
      <c r="E174" s="7">
        <v>6.4649999999999999</v>
      </c>
      <c r="F174" s="7">
        <f>(E174/'Yearly GDP'!$B$16)*100</f>
        <v>282.31441048034935</v>
      </c>
      <c r="G174" s="15">
        <f t="shared" si="16"/>
        <v>3.8925652004671074E-2</v>
      </c>
      <c r="H174" s="14">
        <f t="shared" si="17"/>
        <v>0.60209825219908852</v>
      </c>
      <c r="I174" s="7">
        <f t="shared" si="18"/>
        <v>0.83399999999999996</v>
      </c>
      <c r="J174" s="7">
        <f t="shared" si="19"/>
        <v>0.45100000000000001</v>
      </c>
      <c r="K174" s="16">
        <f t="shared" si="20"/>
        <v>0.35699999999999998</v>
      </c>
      <c r="L174" s="16">
        <f t="shared" si="21"/>
        <v>0.29599999999999999</v>
      </c>
      <c r="M174" s="16">
        <f t="shared" si="22"/>
        <v>0.63600000000000001</v>
      </c>
      <c r="N174" s="7">
        <v>10077.1</v>
      </c>
      <c r="O174" s="8">
        <v>17158.25</v>
      </c>
      <c r="P174" s="13">
        <f t="shared" si="23"/>
        <v>0.11231420785251967</v>
      </c>
    </row>
    <row r="175" spans="1:16" x14ac:dyDescent="0.3">
      <c r="A175" s="6">
        <v>42917</v>
      </c>
      <c r="B175" s="7">
        <v>9917.9</v>
      </c>
      <c r="C175" s="7">
        <v>25.62</v>
      </c>
      <c r="D175" s="7">
        <v>3.49</v>
      </c>
      <c r="E175" s="7">
        <v>6.5250000000000004</v>
      </c>
      <c r="F175" s="7">
        <f>(E175/'Yearly GDP'!$B$16)*100</f>
        <v>284.93449781659388</v>
      </c>
      <c r="G175" s="15">
        <f t="shared" si="16"/>
        <v>3.9032006245121001E-2</v>
      </c>
      <c r="H175" s="14">
        <f t="shared" si="17"/>
        <v>0.59819166659189271</v>
      </c>
      <c r="I175" s="7">
        <f t="shared" si="18"/>
        <v>0.82699999999999996</v>
      </c>
      <c r="J175" s="7">
        <f t="shared" si="19"/>
        <v>0.42399999999999999</v>
      </c>
      <c r="K175" s="16">
        <f t="shared" si="20"/>
        <v>0.33</v>
      </c>
      <c r="L175" s="16">
        <f t="shared" si="21"/>
        <v>0.308</v>
      </c>
      <c r="M175" s="16">
        <f t="shared" si="22"/>
        <v>0.62</v>
      </c>
      <c r="N175" s="7">
        <v>9917.9</v>
      </c>
      <c r="O175" s="7">
        <v>17759.3</v>
      </c>
      <c r="P175" s="13">
        <f t="shared" si="23"/>
        <v>0.12357281725265223</v>
      </c>
    </row>
    <row r="176" spans="1:16" x14ac:dyDescent="0.3">
      <c r="A176" s="6">
        <v>42948</v>
      </c>
      <c r="B176" s="7">
        <v>9788.6</v>
      </c>
      <c r="C176" s="7">
        <v>25.43</v>
      </c>
      <c r="D176" s="7">
        <v>3.35</v>
      </c>
      <c r="E176" s="7">
        <v>6.6630000000000003</v>
      </c>
      <c r="F176" s="7">
        <f>(E176/'Yearly GDP'!$B$16)*100</f>
        <v>290.96069868995636</v>
      </c>
      <c r="G176" s="15">
        <f t="shared" si="16"/>
        <v>3.9323633503735744E-2</v>
      </c>
      <c r="H176" s="14">
        <f t="shared" si="17"/>
        <v>0.59017910106162008</v>
      </c>
      <c r="I176" s="7">
        <f t="shared" si="18"/>
        <v>0.81499999999999995</v>
      </c>
      <c r="J176" s="7">
        <f t="shared" si="19"/>
        <v>0.29599999999999999</v>
      </c>
      <c r="K176" s="16">
        <f t="shared" si="20"/>
        <v>0.28499999999999998</v>
      </c>
      <c r="L176" s="16">
        <f t="shared" si="21"/>
        <v>0.32300000000000001</v>
      </c>
      <c r="M176" s="16">
        <f t="shared" si="22"/>
        <v>0.5776</v>
      </c>
      <c r="N176" s="7">
        <v>9788.6</v>
      </c>
      <c r="O176" s="7">
        <v>17094.349999999999</v>
      </c>
      <c r="P176" s="13">
        <f t="shared" si="23"/>
        <v>0.117960352540879</v>
      </c>
    </row>
    <row r="177" spans="1:16" x14ac:dyDescent="0.3">
      <c r="A177" s="6">
        <v>42979</v>
      </c>
      <c r="B177" s="7">
        <v>10335.299999999999</v>
      </c>
      <c r="C177" s="7">
        <v>26.38</v>
      </c>
      <c r="D177" s="7">
        <v>3.49</v>
      </c>
      <c r="E177" s="7">
        <v>6.8620000000000001</v>
      </c>
      <c r="F177" s="7">
        <f>(E177/'Yearly GDP'!$B$16)*100</f>
        <v>299.6506550218341</v>
      </c>
      <c r="G177" s="15">
        <f t="shared" si="16"/>
        <v>3.7907505686125852E-2</v>
      </c>
      <c r="H177" s="14">
        <f t="shared" si="17"/>
        <v>0.55242648915951398</v>
      </c>
      <c r="I177" s="7">
        <f t="shared" si="18"/>
        <v>0.875</v>
      </c>
      <c r="J177" s="7">
        <f t="shared" si="19"/>
        <v>0.42399999999999999</v>
      </c>
      <c r="K177" s="16">
        <f t="shared" si="20"/>
        <v>0.154</v>
      </c>
      <c r="L177" s="16">
        <f t="shared" si="21"/>
        <v>0.35299999999999998</v>
      </c>
      <c r="M177" s="16">
        <f t="shared" si="22"/>
        <v>0.59499999999999997</v>
      </c>
      <c r="N177" s="7">
        <v>10335.299999999999</v>
      </c>
      <c r="O177" s="7">
        <v>18012.2</v>
      </c>
      <c r="P177" s="13">
        <f t="shared" si="23"/>
        <v>0.11750309509257462</v>
      </c>
    </row>
    <row r="178" spans="1:16" x14ac:dyDescent="0.3">
      <c r="A178" s="6">
        <v>43009</v>
      </c>
      <c r="B178" s="7">
        <v>10226.549999999999</v>
      </c>
      <c r="C178" s="7">
        <v>26.16</v>
      </c>
      <c r="D178" s="7">
        <v>3.45</v>
      </c>
      <c r="E178" s="7">
        <v>7.0579999999999998</v>
      </c>
      <c r="F178" s="7">
        <f>(E178/'Yearly GDP'!$B$16)*100</f>
        <v>308.20960698689953</v>
      </c>
      <c r="G178" s="15">
        <f t="shared" si="16"/>
        <v>3.82262996941896E-2</v>
      </c>
      <c r="H178" s="14">
        <f t="shared" si="17"/>
        <v>0.5416024326181581</v>
      </c>
      <c r="I178" s="7">
        <f t="shared" si="18"/>
        <v>0.84899999999999998</v>
      </c>
      <c r="J178" s="7">
        <f t="shared" si="19"/>
        <v>0.375</v>
      </c>
      <c r="K178" s="16">
        <f t="shared" si="20"/>
        <v>0.13100000000000001</v>
      </c>
      <c r="L178" s="16">
        <f t="shared" si="21"/>
        <v>0.375</v>
      </c>
      <c r="M178" s="16">
        <f t="shared" si="22"/>
        <v>0.56580000000000008</v>
      </c>
      <c r="N178" s="7">
        <v>10226.549999999999</v>
      </c>
      <c r="O178" s="7">
        <v>18758.349999999999</v>
      </c>
      <c r="P178" s="13">
        <f t="shared" si="23"/>
        <v>0.12899780547411499</v>
      </c>
    </row>
    <row r="179" spans="1:16" x14ac:dyDescent="0.3">
      <c r="A179" s="6">
        <v>43040</v>
      </c>
      <c r="B179" s="7">
        <v>10530.7</v>
      </c>
      <c r="C179" s="7">
        <v>26.92</v>
      </c>
      <c r="D179" s="7">
        <v>3.55</v>
      </c>
      <c r="E179" s="7">
        <v>7.3259999999999996</v>
      </c>
      <c r="F179" s="7">
        <f>(E179/'Yearly GDP'!$B$16)*100</f>
        <v>319.91266375545848</v>
      </c>
      <c r="G179" s="15">
        <f t="shared" si="16"/>
        <v>3.7147102526002972E-2</v>
      </c>
      <c r="H179" s="14">
        <f t="shared" si="17"/>
        <v>0.5070584565383971</v>
      </c>
      <c r="I179" s="7">
        <f t="shared" si="18"/>
        <v>0.89400000000000002</v>
      </c>
      <c r="J179" s="7">
        <f t="shared" si="19"/>
        <v>0.496</v>
      </c>
      <c r="K179" s="16">
        <f t="shared" si="20"/>
        <v>0.09</v>
      </c>
      <c r="L179" s="16">
        <f t="shared" si="21"/>
        <v>0.38300000000000001</v>
      </c>
      <c r="M179" s="16">
        <f t="shared" si="22"/>
        <v>0.59820000000000007</v>
      </c>
      <c r="N179" s="7">
        <v>10530.7</v>
      </c>
      <c r="O179" s="7">
        <v>18105.3</v>
      </c>
      <c r="P179" s="13">
        <f t="shared" si="23"/>
        <v>0.11447337339738284</v>
      </c>
    </row>
    <row r="180" spans="1:16" x14ac:dyDescent="0.3">
      <c r="A180" s="6">
        <v>43070</v>
      </c>
      <c r="B180" s="7">
        <v>11027.7</v>
      </c>
      <c r="C180" s="7">
        <v>27.5</v>
      </c>
      <c r="D180" s="7">
        <v>3.73</v>
      </c>
      <c r="E180" s="7">
        <v>7.43</v>
      </c>
      <c r="F180" s="7">
        <f>(E180/'Yearly GDP'!$B$16)*100</f>
        <v>324.45414847161567</v>
      </c>
      <c r="G180" s="15">
        <f t="shared" si="16"/>
        <v>3.6363636363636362E-2</v>
      </c>
      <c r="H180" s="14">
        <f t="shared" si="17"/>
        <v>0.48941637097760921</v>
      </c>
      <c r="I180" s="7">
        <f t="shared" si="18"/>
        <v>0.92100000000000004</v>
      </c>
      <c r="J180" s="7">
        <f t="shared" si="19"/>
        <v>0.627</v>
      </c>
      <c r="K180" s="16">
        <f t="shared" si="20"/>
        <v>5.6000000000000001E-2</v>
      </c>
      <c r="L180" s="16">
        <f t="shared" si="21"/>
        <v>0.38700000000000001</v>
      </c>
      <c r="M180" s="16">
        <f t="shared" si="22"/>
        <v>0.62760000000000016</v>
      </c>
      <c r="N180" s="7">
        <v>11027.7</v>
      </c>
      <c r="O180" s="7">
        <v>17662.150000000001</v>
      </c>
      <c r="P180" s="13">
        <f t="shared" si="23"/>
        <v>9.8782477865221763E-2</v>
      </c>
    </row>
    <row r="181" spans="1:16" x14ac:dyDescent="0.3">
      <c r="A181" s="6">
        <v>43101</v>
      </c>
      <c r="B181" s="7">
        <v>10492.85</v>
      </c>
      <c r="C181" s="7">
        <v>25.68</v>
      </c>
      <c r="D181" s="7">
        <v>3.54</v>
      </c>
      <c r="E181" s="7">
        <v>7.726</v>
      </c>
      <c r="F181" s="7">
        <f>(E181/'Yearly GDP'!$B$17)*100</f>
        <v>291.54716981132077</v>
      </c>
      <c r="G181" s="15">
        <f t="shared" si="16"/>
        <v>3.8940809968847349E-2</v>
      </c>
      <c r="H181" s="14">
        <f t="shared" si="17"/>
        <v>0.5040229092524896</v>
      </c>
      <c r="I181" s="7">
        <f t="shared" si="18"/>
        <v>0.83</v>
      </c>
      <c r="J181" s="7">
        <f t="shared" si="19"/>
        <v>0.48399999999999999</v>
      </c>
      <c r="K181" s="16">
        <f t="shared" si="20"/>
        <v>8.5999999999999993E-2</v>
      </c>
      <c r="L181" s="16">
        <f t="shared" si="21"/>
        <v>0.32700000000000001</v>
      </c>
      <c r="M181" s="16">
        <f t="shared" si="22"/>
        <v>0.5806</v>
      </c>
      <c r="N181" s="7">
        <v>10492.85</v>
      </c>
      <c r="O181" s="7">
        <v>17303.95</v>
      </c>
      <c r="P181" s="13">
        <f t="shared" si="23"/>
        <v>0.10522412810041648</v>
      </c>
    </row>
    <row r="182" spans="1:16" x14ac:dyDescent="0.3">
      <c r="A182" s="6">
        <v>43132</v>
      </c>
      <c r="B182" s="7">
        <v>10113.700000000001</v>
      </c>
      <c r="C182" s="7">
        <v>24.66</v>
      </c>
      <c r="D182" s="7">
        <v>3.42</v>
      </c>
      <c r="E182" s="7">
        <v>7.3979999999999997</v>
      </c>
      <c r="F182" s="7">
        <f>(E182/'Yearly GDP'!$B$17)*100</f>
        <v>279.16981132075472</v>
      </c>
      <c r="G182" s="15">
        <f t="shared" si="16"/>
        <v>4.0551500405515001E-2</v>
      </c>
      <c r="H182" s="14">
        <f t="shared" si="17"/>
        <v>0.54814139504616111</v>
      </c>
      <c r="I182" s="7">
        <f t="shared" si="18"/>
        <v>0.8</v>
      </c>
      <c r="J182" s="7">
        <f t="shared" si="19"/>
        <v>0.35699999999999998</v>
      </c>
      <c r="K182" s="16">
        <f t="shared" si="20"/>
        <v>0.13900000000000001</v>
      </c>
      <c r="L182" s="16">
        <f t="shared" si="21"/>
        <v>0.28899999999999998</v>
      </c>
      <c r="M182" s="16">
        <f t="shared" si="22"/>
        <v>0.56140000000000012</v>
      </c>
      <c r="N182" s="7">
        <v>10113.700000000001</v>
      </c>
      <c r="O182" s="7">
        <v>17359.75</v>
      </c>
      <c r="P182" s="13">
        <f t="shared" si="23"/>
        <v>0.11410642780248659</v>
      </c>
    </row>
    <row r="183" spans="1:16" x14ac:dyDescent="0.3">
      <c r="A183" s="6">
        <v>43160</v>
      </c>
      <c r="B183" s="7">
        <v>10739.35</v>
      </c>
      <c r="C183" s="7">
        <v>26.66</v>
      </c>
      <c r="D183" s="7">
        <v>3.69</v>
      </c>
      <c r="E183" s="7">
        <v>7.7670000000000003</v>
      </c>
      <c r="F183" s="7">
        <f>(E183/'Yearly GDP'!$B$17)*100</f>
        <v>293.09433962264154</v>
      </c>
      <c r="G183" s="15">
        <f t="shared" si="16"/>
        <v>3.7509377344336084E-2</v>
      </c>
      <c r="H183" s="14">
        <f t="shared" si="17"/>
        <v>0.48293262964254002</v>
      </c>
      <c r="I183" s="7">
        <f t="shared" si="18"/>
        <v>0.89</v>
      </c>
      <c r="J183" s="7">
        <f t="shared" si="19"/>
        <v>0.59</v>
      </c>
      <c r="K183" s="16">
        <f t="shared" si="20"/>
        <v>4.4999999999999998E-2</v>
      </c>
      <c r="L183" s="16">
        <f t="shared" si="21"/>
        <v>0.33</v>
      </c>
      <c r="M183" s="16">
        <f t="shared" si="22"/>
        <v>0.61699999999999999</v>
      </c>
      <c r="N183" s="7">
        <v>10739.35</v>
      </c>
      <c r="O183" s="7">
        <v>18065</v>
      </c>
      <c r="P183" s="13">
        <f t="shared" si="23"/>
        <v>0.1096141693880317</v>
      </c>
    </row>
    <row r="184" spans="1:16" x14ac:dyDescent="0.3">
      <c r="A184" s="6">
        <v>43191</v>
      </c>
      <c r="B184" s="7">
        <v>10736.15</v>
      </c>
      <c r="C184" s="7">
        <v>27.19</v>
      </c>
      <c r="D184" s="7">
        <v>3.69</v>
      </c>
      <c r="E184" s="7">
        <v>7.8259999999999996</v>
      </c>
      <c r="F184" s="7">
        <f>(E184/'Yearly GDP'!$B$17)*100</f>
        <v>295.32075471698113</v>
      </c>
      <c r="G184" s="15">
        <f t="shared" si="16"/>
        <v>3.6778227289444645E-2</v>
      </c>
      <c r="H184" s="14">
        <f t="shared" si="17"/>
        <v>0.4699492370233152</v>
      </c>
      <c r="I184" s="7">
        <f t="shared" si="18"/>
        <v>0.90600000000000003</v>
      </c>
      <c r="J184" s="7">
        <f t="shared" si="19"/>
        <v>0.59</v>
      </c>
      <c r="K184" s="16">
        <f t="shared" si="20"/>
        <v>0.03</v>
      </c>
      <c r="L184" s="16">
        <f t="shared" si="21"/>
        <v>0.33800000000000002</v>
      </c>
      <c r="M184" s="16">
        <f t="shared" si="22"/>
        <v>0.61880000000000002</v>
      </c>
      <c r="N184" s="7">
        <v>10736.15</v>
      </c>
      <c r="O184" s="7">
        <v>18534.400000000001</v>
      </c>
      <c r="P184" s="13">
        <f t="shared" si="23"/>
        <v>0.11538806265303814</v>
      </c>
    </row>
    <row r="185" spans="1:16" x14ac:dyDescent="0.3">
      <c r="A185" s="6">
        <v>43221</v>
      </c>
      <c r="B185" s="7">
        <v>10714.3</v>
      </c>
      <c r="C185" s="7">
        <v>25.9</v>
      </c>
      <c r="D185" s="7">
        <v>3.61</v>
      </c>
      <c r="E185" s="7">
        <v>7.9029999999999996</v>
      </c>
      <c r="F185" s="7">
        <f>(E185/'Yearly GDP'!$B$17)*100</f>
        <v>298.22641509433964</v>
      </c>
      <c r="G185" s="15">
        <f t="shared" si="16"/>
        <v>3.8610038610038609E-2</v>
      </c>
      <c r="H185" s="14">
        <f t="shared" si="17"/>
        <v>0.48854914095961804</v>
      </c>
      <c r="I185" s="7">
        <f t="shared" si="18"/>
        <v>0.84499999999999997</v>
      </c>
      <c r="J185" s="7">
        <f t="shared" si="19"/>
        <v>0.52600000000000002</v>
      </c>
      <c r="K185" s="16">
        <f t="shared" si="20"/>
        <v>5.1999999999999998E-2</v>
      </c>
      <c r="L185" s="16">
        <f t="shared" si="21"/>
        <v>0.34899999999999998</v>
      </c>
      <c r="M185" s="16">
        <f t="shared" si="22"/>
        <v>0.5838000000000001</v>
      </c>
      <c r="N185" s="7">
        <v>10714.3</v>
      </c>
      <c r="O185" s="7">
        <v>19189.05</v>
      </c>
      <c r="P185" s="13">
        <f t="shared" si="23"/>
        <v>0.12361605069356352</v>
      </c>
    </row>
    <row r="186" spans="1:16" x14ac:dyDescent="0.3">
      <c r="A186" s="6">
        <v>43252</v>
      </c>
      <c r="B186" s="7">
        <v>11356.5</v>
      </c>
      <c r="C186" s="7">
        <v>28.22</v>
      </c>
      <c r="D186" s="7">
        <v>3.7</v>
      </c>
      <c r="E186" s="7">
        <v>7.7720000000000002</v>
      </c>
      <c r="F186" s="7">
        <f>(E186/'Yearly GDP'!$B$17)*100</f>
        <v>293.28301886792457</v>
      </c>
      <c r="G186" s="15">
        <f t="shared" si="16"/>
        <v>3.543586109142452E-2</v>
      </c>
      <c r="H186" s="14">
        <f t="shared" si="17"/>
        <v>0.45594262855667161</v>
      </c>
      <c r="I186" s="7">
        <f t="shared" si="18"/>
        <v>0.93200000000000005</v>
      </c>
      <c r="J186" s="7">
        <f t="shared" si="19"/>
        <v>0.60499999999999998</v>
      </c>
      <c r="K186" s="16">
        <f t="shared" si="20"/>
        <v>1.0999999999999999E-2</v>
      </c>
      <c r="L186" s="16">
        <f t="shared" si="21"/>
        <v>0.33400000000000002</v>
      </c>
      <c r="M186" s="16">
        <f t="shared" si="22"/>
        <v>0.62919999999999998</v>
      </c>
      <c r="N186" s="7">
        <v>11356.5</v>
      </c>
      <c r="O186" s="7">
        <v>19753.8</v>
      </c>
      <c r="P186" s="13">
        <f t="shared" si="23"/>
        <v>0.1170721628181417</v>
      </c>
    </row>
    <row r="187" spans="1:16" x14ac:dyDescent="0.3">
      <c r="A187" s="6">
        <v>43282</v>
      </c>
      <c r="B187" s="7">
        <v>11680.5</v>
      </c>
      <c r="C187" s="7">
        <v>28.4</v>
      </c>
      <c r="D187" s="7">
        <v>3.76</v>
      </c>
      <c r="E187" s="7">
        <v>7.9509999999999996</v>
      </c>
      <c r="F187" s="7">
        <f>(E187/'Yearly GDP'!$B$17)*100</f>
        <v>300.03773584905662</v>
      </c>
      <c r="G187" s="15">
        <f t="shared" si="16"/>
        <v>3.5211267605633804E-2</v>
      </c>
      <c r="H187" s="14">
        <f t="shared" si="17"/>
        <v>0.44285332166562452</v>
      </c>
      <c r="I187" s="7">
        <f t="shared" si="18"/>
        <v>0.94299999999999995</v>
      </c>
      <c r="J187" s="7">
        <f t="shared" si="19"/>
        <v>0.64200000000000002</v>
      </c>
      <c r="K187" s="16">
        <f t="shared" si="20"/>
        <v>7.0000000000000001E-3</v>
      </c>
      <c r="L187" s="16">
        <f t="shared" si="21"/>
        <v>0.36</v>
      </c>
      <c r="M187" s="16">
        <f t="shared" si="22"/>
        <v>0.63500000000000001</v>
      </c>
      <c r="N187" s="7">
        <v>11680.5</v>
      </c>
      <c r="O187" s="7">
        <v>19253.8</v>
      </c>
      <c r="P187" s="13">
        <f t="shared" si="23"/>
        <v>0.10512398448512306</v>
      </c>
    </row>
    <row r="188" spans="1:16" x14ac:dyDescent="0.3">
      <c r="A188" s="6">
        <v>43313</v>
      </c>
      <c r="B188" s="7">
        <v>10930.45</v>
      </c>
      <c r="C188" s="7">
        <v>26.44</v>
      </c>
      <c r="D188" s="7">
        <v>3.47</v>
      </c>
      <c r="E188" s="7">
        <v>8.0239999999999991</v>
      </c>
      <c r="F188" s="7">
        <f>(E188/'Yearly GDP'!$B$17)*100</f>
        <v>302.79245283018867</v>
      </c>
      <c r="G188" s="15">
        <f t="shared" si="16"/>
        <v>3.7821482602117998E-2</v>
      </c>
      <c r="H188" s="14">
        <f t="shared" si="17"/>
        <v>0.47135446911911766</v>
      </c>
      <c r="I188" s="7">
        <f t="shared" si="18"/>
        <v>0.88300000000000001</v>
      </c>
      <c r="J188" s="7">
        <f t="shared" si="19"/>
        <v>0.39800000000000002</v>
      </c>
      <c r="K188" s="16">
        <f t="shared" si="20"/>
        <v>3.3000000000000002E-2</v>
      </c>
      <c r="L188" s="16">
        <f t="shared" si="21"/>
        <v>0.36399999999999999</v>
      </c>
      <c r="M188" s="16">
        <f t="shared" si="22"/>
        <v>0.56659999999999999</v>
      </c>
      <c r="N188" s="7">
        <v>10930.45</v>
      </c>
      <c r="O188" s="7">
        <v>19638.3</v>
      </c>
      <c r="P188" s="13">
        <f t="shared" si="23"/>
        <v>0.12432837090763149</v>
      </c>
    </row>
    <row r="189" spans="1:16" x14ac:dyDescent="0.3">
      <c r="A189" s="6">
        <v>43344</v>
      </c>
      <c r="B189" s="7">
        <v>10386.6</v>
      </c>
      <c r="C189" s="7">
        <v>25</v>
      </c>
      <c r="D189" s="7">
        <v>3.29</v>
      </c>
      <c r="E189" s="7">
        <v>7.8529999999999998</v>
      </c>
      <c r="F189" s="7">
        <f>(E189/'Yearly GDP'!$B$17)*100</f>
        <v>296.33962264150944</v>
      </c>
      <c r="G189" s="15">
        <f t="shared" si="16"/>
        <v>0.04</v>
      </c>
      <c r="H189" s="14">
        <f t="shared" si="17"/>
        <v>0.5093594804533299</v>
      </c>
      <c r="I189" s="7">
        <f t="shared" si="18"/>
        <v>0.80800000000000005</v>
      </c>
      <c r="J189" s="7">
        <f t="shared" si="19"/>
        <v>0.28499999999999998</v>
      </c>
      <c r="K189" s="16">
        <f t="shared" si="20"/>
        <v>0.10100000000000001</v>
      </c>
      <c r="L189" s="16">
        <f t="shared" si="21"/>
        <v>0.34200000000000003</v>
      </c>
      <c r="M189" s="16">
        <f t="shared" si="22"/>
        <v>0.53200000000000003</v>
      </c>
      <c r="N189" s="7">
        <v>10386.6</v>
      </c>
      <c r="O189" s="7">
        <v>19079.599999999999</v>
      </c>
      <c r="P189" s="13">
        <f t="shared" si="23"/>
        <v>0.12932559674951105</v>
      </c>
    </row>
    <row r="190" spans="1:16" x14ac:dyDescent="0.3">
      <c r="A190" s="6">
        <v>43374</v>
      </c>
      <c r="B190" s="7">
        <v>10876.75</v>
      </c>
      <c r="C190" s="7">
        <v>26.31</v>
      </c>
      <c r="D190" s="7">
        <v>3.44</v>
      </c>
      <c r="E190" s="7">
        <v>7.6070000000000002</v>
      </c>
      <c r="F190" s="7">
        <f>(E190/'Yearly GDP'!$B$17)*100</f>
        <v>287.05660377358492</v>
      </c>
      <c r="G190" s="15">
        <f t="shared" si="16"/>
        <v>3.8008361839604717E-2</v>
      </c>
      <c r="H190" s="14">
        <f t="shared" si="17"/>
        <v>0.49964982042335637</v>
      </c>
      <c r="I190" s="7">
        <f t="shared" si="18"/>
        <v>0.86399999999999999</v>
      </c>
      <c r="J190" s="7">
        <f t="shared" si="19"/>
        <v>0.372</v>
      </c>
      <c r="K190" s="16">
        <f t="shared" si="20"/>
        <v>6.7000000000000004E-2</v>
      </c>
      <c r="L190" s="16">
        <f t="shared" si="21"/>
        <v>0.312</v>
      </c>
      <c r="M190" s="16">
        <f t="shared" si="22"/>
        <v>0.57100000000000006</v>
      </c>
      <c r="N190" s="7">
        <v>10876.75</v>
      </c>
      <c r="O190" s="7">
        <v>20133.150000000001</v>
      </c>
      <c r="P190" s="13">
        <f t="shared" si="23"/>
        <v>0.13105185551021581</v>
      </c>
    </row>
    <row r="191" spans="1:16" x14ac:dyDescent="0.3">
      <c r="A191" s="6">
        <v>43405</v>
      </c>
      <c r="B191" s="7">
        <v>10862.55</v>
      </c>
      <c r="C191" s="7">
        <v>26.17</v>
      </c>
      <c r="D191" s="7">
        <v>3.38</v>
      </c>
      <c r="E191" s="7">
        <v>7.37</v>
      </c>
      <c r="F191" s="7">
        <f>(E191/'Yearly GDP'!$B$17)*100</f>
        <v>278.11320754716979</v>
      </c>
      <c r="G191" s="15">
        <f t="shared" si="16"/>
        <v>3.821169277799006E-2</v>
      </c>
      <c r="H191" s="14">
        <f t="shared" si="17"/>
        <v>0.51847615709620154</v>
      </c>
      <c r="I191" s="7">
        <f t="shared" si="18"/>
        <v>0.85299999999999998</v>
      </c>
      <c r="J191" s="7">
        <f t="shared" si="19"/>
        <v>0.33</v>
      </c>
      <c r="K191" s="16">
        <f t="shared" si="20"/>
        <v>0.11600000000000001</v>
      </c>
      <c r="L191" s="16">
        <f t="shared" si="21"/>
        <v>0.28499999999999998</v>
      </c>
      <c r="M191" s="16">
        <f t="shared" si="22"/>
        <v>0.57340000000000002</v>
      </c>
      <c r="N191" s="7">
        <v>10862.55</v>
      </c>
      <c r="O191" s="7">
        <v>21731.4</v>
      </c>
      <c r="P191" s="13">
        <f t="shared" si="23"/>
        <v>0.14876496882482804</v>
      </c>
    </row>
    <row r="192" spans="1:16" x14ac:dyDescent="0.3">
      <c r="A192" s="6">
        <v>43435</v>
      </c>
      <c r="B192" s="7">
        <v>10830.95</v>
      </c>
      <c r="C192" s="7">
        <v>26.26</v>
      </c>
      <c r="D192" s="7">
        <v>3.37</v>
      </c>
      <c r="E192" s="7">
        <v>7.4829999999999997</v>
      </c>
      <c r="F192" s="7">
        <f>(E192/'Yearly GDP'!$B$17)*100</f>
        <v>282.37735849056605</v>
      </c>
      <c r="G192" s="15">
        <f t="shared" si="16"/>
        <v>3.8080731150038079E-2</v>
      </c>
      <c r="H192" s="14">
        <f t="shared" si="17"/>
        <v>0.50889658091725354</v>
      </c>
      <c r="I192" s="7">
        <f t="shared" si="18"/>
        <v>0.86</v>
      </c>
      <c r="J192" s="7">
        <f t="shared" si="19"/>
        <v>0.315</v>
      </c>
      <c r="K192" s="16">
        <f t="shared" si="20"/>
        <v>9.7000000000000003E-2</v>
      </c>
      <c r="L192" s="16">
        <f t="shared" si="21"/>
        <v>0.3</v>
      </c>
      <c r="M192" s="16">
        <f t="shared" si="22"/>
        <v>0.56640000000000001</v>
      </c>
      <c r="N192" s="7">
        <v>10830.95</v>
      </c>
      <c r="O192" s="7">
        <v>21725.7</v>
      </c>
      <c r="P192" s="13">
        <f t="shared" si="23"/>
        <v>0.14937420307645599</v>
      </c>
    </row>
    <row r="193" spans="1:16" x14ac:dyDescent="0.3">
      <c r="A193" s="6">
        <v>43466</v>
      </c>
      <c r="B193" s="7">
        <v>10792.5</v>
      </c>
      <c r="C193" s="7">
        <v>26.32</v>
      </c>
      <c r="D193" s="7">
        <v>3.41</v>
      </c>
      <c r="E193" s="7">
        <v>7.5910000000000002</v>
      </c>
      <c r="F193" s="7">
        <f>(E193/'Yearly GDP'!$B$18)*100</f>
        <v>281.14814814814815</v>
      </c>
      <c r="G193" s="15">
        <f t="shared" si="16"/>
        <v>3.7993920972644375E-2</v>
      </c>
      <c r="H193" s="14">
        <f t="shared" si="17"/>
        <v>0.50051272523573143</v>
      </c>
      <c r="I193" s="7">
        <f t="shared" si="18"/>
        <v>0.86799999999999999</v>
      </c>
      <c r="J193" s="7">
        <f t="shared" si="19"/>
        <v>0.35299999999999998</v>
      </c>
      <c r="K193" s="16">
        <f t="shared" si="20"/>
        <v>7.4999999999999997E-2</v>
      </c>
      <c r="L193" s="16">
        <f t="shared" si="21"/>
        <v>0.29299999999999998</v>
      </c>
      <c r="M193" s="16">
        <f t="shared" si="22"/>
        <v>0.57420000000000004</v>
      </c>
      <c r="N193" s="7">
        <v>10792.5</v>
      </c>
      <c r="O193" s="7">
        <v>21982.799999999999</v>
      </c>
      <c r="P193" s="13">
        <f t="shared" si="23"/>
        <v>0.15290146295399754</v>
      </c>
    </row>
    <row r="194" spans="1:16" x14ac:dyDescent="0.3">
      <c r="A194" s="6">
        <v>43497</v>
      </c>
      <c r="B194" s="7">
        <v>11623.9</v>
      </c>
      <c r="C194" s="7">
        <v>29.01</v>
      </c>
      <c r="D194" s="7">
        <v>3.71</v>
      </c>
      <c r="E194" s="7">
        <v>7.3460000000000001</v>
      </c>
      <c r="F194" s="7">
        <f>(E194/'Yearly GDP'!$B$18)*100</f>
        <v>272.07407407407402</v>
      </c>
      <c r="G194" s="15">
        <f t="shared" si="16"/>
        <v>3.447087211306446E-2</v>
      </c>
      <c r="H194" s="14">
        <f t="shared" si="17"/>
        <v>0.46924682974495591</v>
      </c>
      <c r="I194" s="7">
        <f t="shared" si="18"/>
        <v>0.95099999999999996</v>
      </c>
      <c r="J194" s="7">
        <f t="shared" si="19"/>
        <v>0.61599999999999999</v>
      </c>
      <c r="K194" s="16">
        <f t="shared" si="20"/>
        <v>2.5999999999999999E-2</v>
      </c>
      <c r="L194" s="16">
        <f t="shared" si="21"/>
        <v>0.27800000000000002</v>
      </c>
      <c r="M194" s="16">
        <f t="shared" si="22"/>
        <v>0.6532</v>
      </c>
      <c r="N194" s="7">
        <v>11623.9</v>
      </c>
      <c r="O194" s="7">
        <v>22326.9</v>
      </c>
      <c r="P194" s="13">
        <f t="shared" si="23"/>
        <v>0.13945010413447179</v>
      </c>
    </row>
    <row r="195" spans="1:16" x14ac:dyDescent="0.3">
      <c r="A195" s="6">
        <v>43525</v>
      </c>
      <c r="B195" s="7">
        <v>11748.15</v>
      </c>
      <c r="C195" s="7">
        <v>29.33</v>
      </c>
      <c r="D195" s="7">
        <v>3.76</v>
      </c>
      <c r="E195" s="7">
        <v>7.4139999999999997</v>
      </c>
      <c r="F195" s="7">
        <f>(E195/'Yearly GDP'!$B$18)*100</f>
        <v>274.59259259259255</v>
      </c>
      <c r="G195" s="15">
        <f t="shared" si="16"/>
        <v>3.4094783498124788E-2</v>
      </c>
      <c r="H195" s="14">
        <f t="shared" si="17"/>
        <v>0.45987029266421353</v>
      </c>
      <c r="I195" s="7">
        <f t="shared" si="18"/>
        <v>0.95799999999999996</v>
      </c>
      <c r="J195" s="7">
        <f t="shared" si="19"/>
        <v>0.64200000000000002</v>
      </c>
      <c r="K195" s="16">
        <f t="shared" si="20"/>
        <v>1.7999999999999999E-2</v>
      </c>
      <c r="L195" s="16">
        <f t="shared" si="21"/>
        <v>0.28100000000000003</v>
      </c>
      <c r="M195" s="16">
        <f t="shared" si="22"/>
        <v>0.65900000000000014</v>
      </c>
      <c r="N195" s="7">
        <v>11748.15</v>
      </c>
      <c r="O195" s="7">
        <v>22604.85</v>
      </c>
      <c r="P195" s="13">
        <f t="shared" si="23"/>
        <v>0.13984665560066789</v>
      </c>
    </row>
    <row r="196" spans="1:16" x14ac:dyDescent="0.3">
      <c r="A196" s="6">
        <v>43556</v>
      </c>
      <c r="B196" s="7">
        <v>11922.8</v>
      </c>
      <c r="C196" s="7">
        <v>29.49</v>
      </c>
      <c r="D196" s="7">
        <v>3.81</v>
      </c>
      <c r="E196" s="7">
        <v>7.032</v>
      </c>
      <c r="F196" s="7">
        <f>(E196/'Yearly GDP'!$B$18)*100</f>
        <v>260.44444444444446</v>
      </c>
      <c r="G196" s="15">
        <f t="shared" ref="G196:G259" si="24">1/C196</f>
        <v>3.39097999321804E-2</v>
      </c>
      <c r="H196" s="14">
        <f t="shared" ref="H196:H259" si="25">G196/E196*(100)</f>
        <v>0.48222127321075658</v>
      </c>
      <c r="I196" s="7">
        <f t="shared" ref="I196:I259" si="26">_xlfn.PERCENTRANK.INC($C$3:$C$269,C196)</f>
        <v>0.96199999999999997</v>
      </c>
      <c r="J196" s="7">
        <f t="shared" ref="J196:J259" si="27">_xlfn.PERCENTRANK.INC($D$3:$D$269,D196)</f>
        <v>0.66500000000000004</v>
      </c>
      <c r="K196" s="16">
        <f t="shared" ref="K196:K259" si="28">_xlfn.PERCENTRANK.INC($H$3:$H$269,H196)</f>
        <v>4.1000000000000002E-2</v>
      </c>
      <c r="L196" s="16">
        <f t="shared" ref="L196:L259" si="29">_xlfn.PERCENTRANK.INC($F$3:$F$269,F196)</f>
        <v>0.27400000000000002</v>
      </c>
      <c r="M196" s="16">
        <f t="shared" ref="M196:M259" si="30">(I196*0.4)+(J196*0.2)+(K196*0.2)+((1-L196)*0.2)</f>
        <v>0.67120000000000002</v>
      </c>
      <c r="N196" s="7">
        <v>11922.8</v>
      </c>
      <c r="O196" s="7">
        <v>22530.7</v>
      </c>
      <c r="P196" s="13">
        <f t="shared" ref="P196:P209" si="31">(O196/N196)^(1/5)-1</f>
        <v>0.1357409508293419</v>
      </c>
    </row>
    <row r="197" spans="1:16" x14ac:dyDescent="0.3">
      <c r="A197" s="6">
        <v>43586</v>
      </c>
      <c r="B197" s="7">
        <v>11788.85</v>
      </c>
      <c r="C197" s="7">
        <v>28.98</v>
      </c>
      <c r="D197" s="7">
        <v>3.71</v>
      </c>
      <c r="E197" s="7">
        <v>6.8789999999999996</v>
      </c>
      <c r="F197" s="7">
        <f>(E197/'Yearly GDP'!$B$18)*100</f>
        <v>254.77777777777771</v>
      </c>
      <c r="G197" s="15">
        <f t="shared" si="24"/>
        <v>3.450655624568668E-2</v>
      </c>
      <c r="H197" s="14">
        <f t="shared" si="25"/>
        <v>0.5016216927705579</v>
      </c>
      <c r="I197" s="7">
        <f t="shared" si="26"/>
        <v>0.94699999999999995</v>
      </c>
      <c r="J197" s="7">
        <f t="shared" si="27"/>
        <v>0.61599999999999999</v>
      </c>
      <c r="K197" s="16">
        <f t="shared" si="28"/>
        <v>7.8E-2</v>
      </c>
      <c r="L197" s="16">
        <f t="shared" si="29"/>
        <v>0.27</v>
      </c>
      <c r="M197" s="16">
        <f t="shared" si="30"/>
        <v>0.66359999999999997</v>
      </c>
      <c r="N197" s="7">
        <v>11788.85</v>
      </c>
      <c r="O197" s="7">
        <v>24010.6</v>
      </c>
      <c r="P197" s="13">
        <f t="shared" si="31"/>
        <v>0.15288586408489846</v>
      </c>
    </row>
    <row r="198" spans="1:16" x14ac:dyDescent="0.3">
      <c r="A198" s="6">
        <v>43617</v>
      </c>
      <c r="B198" s="7">
        <v>11118</v>
      </c>
      <c r="C198" s="7">
        <v>27.42</v>
      </c>
      <c r="D198" s="7">
        <v>3.45</v>
      </c>
      <c r="E198" s="7">
        <v>6.3689999999999998</v>
      </c>
      <c r="F198" s="7">
        <f>(E198/'Yearly GDP'!$B$18)*100</f>
        <v>235.88888888888886</v>
      </c>
      <c r="G198" s="15">
        <f t="shared" si="24"/>
        <v>3.6469730123997082E-2</v>
      </c>
      <c r="H198" s="14">
        <f t="shared" si="25"/>
        <v>0.57261312802633202</v>
      </c>
      <c r="I198" s="7">
        <f t="shared" si="26"/>
        <v>0.91700000000000004</v>
      </c>
      <c r="J198" s="7">
        <f t="shared" si="27"/>
        <v>0.375</v>
      </c>
      <c r="K198" s="16">
        <f t="shared" si="28"/>
        <v>0.22900000000000001</v>
      </c>
      <c r="L198" s="16">
        <f t="shared" si="29"/>
        <v>0.22900000000000001</v>
      </c>
      <c r="M198" s="16">
        <f t="shared" si="30"/>
        <v>0.64180000000000004</v>
      </c>
      <c r="N198" s="7">
        <v>11118</v>
      </c>
      <c r="O198" s="7">
        <v>24951.15</v>
      </c>
      <c r="P198" s="13">
        <f t="shared" si="31"/>
        <v>0.17547332863040355</v>
      </c>
    </row>
    <row r="199" spans="1:16" x14ac:dyDescent="0.3">
      <c r="A199" s="6">
        <v>43647</v>
      </c>
      <c r="B199" s="7">
        <v>11023.25</v>
      </c>
      <c r="C199" s="7">
        <v>27.27</v>
      </c>
      <c r="D199" s="7">
        <v>3.35</v>
      </c>
      <c r="E199" s="7">
        <v>6.556</v>
      </c>
      <c r="F199" s="7">
        <f>(E199/'Yearly GDP'!$B$18)*100</f>
        <v>242.81481481481481</v>
      </c>
      <c r="G199" s="15">
        <f t="shared" si="24"/>
        <v>3.6670333700036674E-2</v>
      </c>
      <c r="H199" s="14">
        <f t="shared" si="25"/>
        <v>0.55934005033612988</v>
      </c>
      <c r="I199" s="7">
        <f t="shared" si="26"/>
        <v>0.90900000000000003</v>
      </c>
      <c r="J199" s="7">
        <f t="shared" si="27"/>
        <v>0.29599999999999999</v>
      </c>
      <c r="K199" s="16">
        <f t="shared" si="28"/>
        <v>0.18</v>
      </c>
      <c r="L199" s="16">
        <f t="shared" si="29"/>
        <v>0.251</v>
      </c>
      <c r="M199" s="16">
        <f t="shared" si="30"/>
        <v>0.60860000000000003</v>
      </c>
      <c r="N199" s="7">
        <v>11023.25</v>
      </c>
      <c r="O199" s="7">
        <v>25235.9</v>
      </c>
      <c r="P199" s="13">
        <f t="shared" si="31"/>
        <v>0.18016254744950055</v>
      </c>
    </row>
    <row r="200" spans="1:16" x14ac:dyDescent="0.3">
      <c r="A200" s="6">
        <v>43678</v>
      </c>
      <c r="B200" s="7">
        <v>11474.45</v>
      </c>
      <c r="C200" s="7">
        <v>26.44</v>
      </c>
      <c r="D200" s="7">
        <v>3.53</v>
      </c>
      <c r="E200" s="7">
        <v>6.6950000000000003</v>
      </c>
      <c r="F200" s="7">
        <f>(E200/'Yearly GDP'!$B$18)*100</f>
        <v>247.96296296296293</v>
      </c>
      <c r="G200" s="15">
        <f t="shared" si="24"/>
        <v>3.7821482602117998E-2</v>
      </c>
      <c r="H200" s="14">
        <f t="shared" si="25"/>
        <v>0.56492132340728896</v>
      </c>
      <c r="I200" s="7">
        <f t="shared" si="26"/>
        <v>0.88300000000000001</v>
      </c>
      <c r="J200" s="7">
        <f t="shared" si="27"/>
        <v>0.46600000000000003</v>
      </c>
      <c r="K200" s="16">
        <f t="shared" si="28"/>
        <v>0.20300000000000001</v>
      </c>
      <c r="L200" s="16">
        <f t="shared" si="29"/>
        <v>0.26300000000000001</v>
      </c>
      <c r="M200" s="16">
        <f t="shared" si="30"/>
        <v>0.63440000000000007</v>
      </c>
      <c r="N200" s="7">
        <v>11474.45</v>
      </c>
      <c r="O200" s="7">
        <v>25810.85</v>
      </c>
      <c r="P200" s="13">
        <f t="shared" si="31"/>
        <v>0.17601831616931496</v>
      </c>
    </row>
    <row r="201" spans="1:16" x14ac:dyDescent="0.3">
      <c r="A201" s="6">
        <v>43709</v>
      </c>
      <c r="B201" s="7">
        <v>11877.45</v>
      </c>
      <c r="C201" s="7">
        <v>27.38</v>
      </c>
      <c r="D201" s="7">
        <v>3.67</v>
      </c>
      <c r="E201" s="7">
        <v>6.6429999999999998</v>
      </c>
      <c r="F201" s="7">
        <f>(E201/'Yearly GDP'!$B$18)*100</f>
        <v>246.03703703703701</v>
      </c>
      <c r="G201" s="15">
        <f t="shared" si="24"/>
        <v>3.6523009495982472E-2</v>
      </c>
      <c r="H201" s="14">
        <f t="shared" si="25"/>
        <v>0.54979692151110149</v>
      </c>
      <c r="I201" s="7">
        <f t="shared" si="26"/>
        <v>0.91300000000000003</v>
      </c>
      <c r="J201" s="7">
        <f t="shared" si="27"/>
        <v>0.58199999999999996</v>
      </c>
      <c r="K201" s="16">
        <f t="shared" si="28"/>
        <v>0.14599999999999999</v>
      </c>
      <c r="L201" s="16">
        <f t="shared" si="29"/>
        <v>0.25900000000000001</v>
      </c>
      <c r="M201" s="16">
        <f t="shared" si="30"/>
        <v>0.65900000000000003</v>
      </c>
      <c r="N201" s="7">
        <v>11877.45</v>
      </c>
      <c r="O201" s="8">
        <v>24205.35</v>
      </c>
      <c r="P201" s="13">
        <f t="shared" si="31"/>
        <v>0.15302209912744336</v>
      </c>
    </row>
    <row r="202" spans="1:16" x14ac:dyDescent="0.3">
      <c r="A202" s="6">
        <v>43739</v>
      </c>
      <c r="B202" s="7">
        <v>12056.05</v>
      </c>
      <c r="C202" s="7">
        <v>28.1</v>
      </c>
      <c r="D202" s="7">
        <v>3.72</v>
      </c>
      <c r="E202" s="7">
        <v>6.46</v>
      </c>
      <c r="F202" s="7">
        <f>(E202/'Yearly GDP'!$B$18)*100</f>
        <v>239.25925925925924</v>
      </c>
      <c r="G202" s="15">
        <f t="shared" si="24"/>
        <v>3.5587188612099641E-2</v>
      </c>
      <c r="H202" s="14">
        <f t="shared" si="25"/>
        <v>0.55088527263312137</v>
      </c>
      <c r="I202" s="7">
        <f t="shared" si="26"/>
        <v>0.92800000000000005</v>
      </c>
      <c r="J202" s="7">
        <f t="shared" si="27"/>
        <v>0.624</v>
      </c>
      <c r="K202" s="16">
        <f t="shared" si="28"/>
        <v>0.15</v>
      </c>
      <c r="L202" s="16">
        <f t="shared" si="29"/>
        <v>0.24</v>
      </c>
      <c r="M202" s="16">
        <f t="shared" si="30"/>
        <v>0.67800000000000005</v>
      </c>
      <c r="N202" s="7">
        <v>12056.05</v>
      </c>
      <c r="O202" s="8">
        <v>24131.1</v>
      </c>
      <c r="P202" s="13">
        <f t="shared" si="31"/>
        <v>0.14887932963459938</v>
      </c>
    </row>
    <row r="203" spans="1:16" x14ac:dyDescent="0.3">
      <c r="A203" s="6">
        <v>43770</v>
      </c>
      <c r="B203" s="7">
        <v>12168.45</v>
      </c>
      <c r="C203" s="7">
        <v>28.3</v>
      </c>
      <c r="D203" s="7">
        <v>3.75</v>
      </c>
      <c r="E203" s="7">
        <v>6.5540000000000003</v>
      </c>
      <c r="F203" s="7">
        <f>(E203/'Yearly GDP'!$B$18)*100</f>
        <v>242.74074074074073</v>
      </c>
      <c r="G203" s="15">
        <f t="shared" si="24"/>
        <v>3.5335689045936397E-2</v>
      </c>
      <c r="H203" s="14">
        <f t="shared" si="25"/>
        <v>0.53914691861361608</v>
      </c>
      <c r="I203" s="7">
        <f t="shared" si="26"/>
        <v>0.93600000000000005</v>
      </c>
      <c r="J203" s="7">
        <f t="shared" si="27"/>
        <v>0.63500000000000001</v>
      </c>
      <c r="K203" s="16">
        <f t="shared" si="28"/>
        <v>0.127</v>
      </c>
      <c r="L203" s="16">
        <f t="shared" si="29"/>
        <v>0.248</v>
      </c>
      <c r="M203" s="16">
        <f t="shared" si="30"/>
        <v>0.67720000000000002</v>
      </c>
      <c r="N203" s="7">
        <v>12168.45</v>
      </c>
      <c r="O203" s="8">
        <v>23644.799999999999</v>
      </c>
      <c r="P203" s="13">
        <f t="shared" si="31"/>
        <v>0.14208933642617549</v>
      </c>
    </row>
    <row r="204" spans="1:16" x14ac:dyDescent="0.3">
      <c r="A204" s="6">
        <v>43800</v>
      </c>
      <c r="B204" s="7">
        <v>11962.1</v>
      </c>
      <c r="C204" s="7">
        <v>26.41</v>
      </c>
      <c r="D204" s="7">
        <v>3.37</v>
      </c>
      <c r="E204" s="7">
        <v>6.5990000000000002</v>
      </c>
      <c r="F204" s="7">
        <f>(E204/'Yearly GDP'!$B$18)*100</f>
        <v>244.40740740740742</v>
      </c>
      <c r="G204" s="15">
        <f t="shared" si="24"/>
        <v>3.7864445285876562E-2</v>
      </c>
      <c r="H204" s="14">
        <f t="shared" si="25"/>
        <v>0.57379065443061927</v>
      </c>
      <c r="I204" s="7">
        <f t="shared" si="26"/>
        <v>0.879</v>
      </c>
      <c r="J204" s="7">
        <f t="shared" si="27"/>
        <v>0.315</v>
      </c>
      <c r="K204" s="16">
        <f t="shared" si="28"/>
        <v>0.23300000000000001</v>
      </c>
      <c r="L204" s="16">
        <f t="shared" si="29"/>
        <v>0.255</v>
      </c>
      <c r="M204" s="16">
        <f t="shared" si="30"/>
        <v>0.61020000000000008</v>
      </c>
      <c r="N204" s="7">
        <v>11962.1</v>
      </c>
      <c r="O204" s="8">
        <v>23508.400000000001</v>
      </c>
      <c r="P204" s="13">
        <f t="shared" si="31"/>
        <v>0.14467745329160753</v>
      </c>
    </row>
    <row r="205" spans="1:16" x14ac:dyDescent="0.3">
      <c r="A205" s="6">
        <v>43831</v>
      </c>
      <c r="B205" s="7">
        <v>11201.75</v>
      </c>
      <c r="C205" s="7">
        <v>25.49</v>
      </c>
      <c r="D205" s="7">
        <v>3.15</v>
      </c>
      <c r="E205" s="7">
        <v>6.3710000000000004</v>
      </c>
      <c r="F205" s="7">
        <f>(E205/'Yearly GDP'!$B$19)*100</f>
        <v>224.33098591549299</v>
      </c>
      <c r="G205" s="15">
        <f t="shared" si="24"/>
        <v>3.9231071008238527E-2</v>
      </c>
      <c r="H205" s="14">
        <f t="shared" si="25"/>
        <v>0.61577571822694277</v>
      </c>
      <c r="I205" s="7">
        <f t="shared" si="26"/>
        <v>0.82299999999999995</v>
      </c>
      <c r="J205" s="7">
        <f t="shared" si="27"/>
        <v>0.21</v>
      </c>
      <c r="K205" s="16">
        <f t="shared" si="28"/>
        <v>0.42099999999999999</v>
      </c>
      <c r="L205" s="16">
        <f t="shared" si="29"/>
        <v>0.157</v>
      </c>
      <c r="M205" s="16">
        <f t="shared" si="30"/>
        <v>0.624</v>
      </c>
      <c r="N205" s="7">
        <v>11201.75</v>
      </c>
      <c r="O205" s="8">
        <v>22124.7</v>
      </c>
      <c r="P205" s="13">
        <f t="shared" si="31"/>
        <v>0.14582502464221303</v>
      </c>
    </row>
    <row r="206" spans="1:16" x14ac:dyDescent="0.3">
      <c r="A206" s="6">
        <v>43862</v>
      </c>
      <c r="B206" s="7">
        <v>8597.75</v>
      </c>
      <c r="C206" s="7">
        <v>19.38</v>
      </c>
      <c r="D206" s="7">
        <v>2.4500000000000002</v>
      </c>
      <c r="E206" s="7">
        <v>6.1379999999999999</v>
      </c>
      <c r="F206" s="7">
        <f>(E206/'Yearly GDP'!$B$19)*100</f>
        <v>216.12676056338026</v>
      </c>
      <c r="G206" s="15">
        <f t="shared" si="24"/>
        <v>5.1599587203302377E-2</v>
      </c>
      <c r="H206" s="14">
        <f t="shared" si="25"/>
        <v>0.8406579863685627</v>
      </c>
      <c r="I206" s="7">
        <f t="shared" si="26"/>
        <v>0.312</v>
      </c>
      <c r="J206" s="7">
        <f t="shared" si="27"/>
        <v>3.3000000000000002E-2</v>
      </c>
      <c r="K206" s="16">
        <f t="shared" si="28"/>
        <v>0.84899999999999998</v>
      </c>
      <c r="L206" s="16">
        <f t="shared" si="29"/>
        <v>0.13900000000000001</v>
      </c>
      <c r="M206" s="16">
        <f t="shared" si="30"/>
        <v>0.47340000000000004</v>
      </c>
      <c r="N206" s="7">
        <v>8597.75</v>
      </c>
      <c r="O206" s="8">
        <v>23519.35</v>
      </c>
      <c r="P206" s="13">
        <f t="shared" si="31"/>
        <v>0.22294830780469943</v>
      </c>
    </row>
    <row r="207" spans="1:16" x14ac:dyDescent="0.3">
      <c r="A207" s="6">
        <v>43891</v>
      </c>
      <c r="B207" s="7">
        <v>9859.9</v>
      </c>
      <c r="C207" s="7">
        <v>22.35</v>
      </c>
      <c r="D207" s="7">
        <v>2.81</v>
      </c>
      <c r="E207" s="7">
        <v>6.11</v>
      </c>
      <c r="F207" s="7">
        <f>(E207/'Yearly GDP'!$B$19)*100</f>
        <v>215.14084507042256</v>
      </c>
      <c r="G207" s="15">
        <f t="shared" si="24"/>
        <v>4.4742729306487691E-2</v>
      </c>
      <c r="H207" s="14">
        <f t="shared" si="25"/>
        <v>0.73228689535986402</v>
      </c>
      <c r="I207" s="7">
        <f t="shared" si="26"/>
        <v>0.64200000000000002</v>
      </c>
      <c r="J207" s="7">
        <f t="shared" si="27"/>
        <v>0.06</v>
      </c>
      <c r="K207" s="16">
        <f t="shared" si="28"/>
        <v>0.80800000000000005</v>
      </c>
      <c r="L207" s="16">
        <f t="shared" si="29"/>
        <v>0.127</v>
      </c>
      <c r="M207" s="16">
        <f t="shared" si="30"/>
        <v>0.60500000000000009</v>
      </c>
      <c r="N207" s="7">
        <v>9859.9</v>
      </c>
      <c r="O207" s="8">
        <v>24334.2</v>
      </c>
      <c r="P207" s="13">
        <f t="shared" si="31"/>
        <v>0.19803336314553577</v>
      </c>
    </row>
    <row r="208" spans="1:16" x14ac:dyDescent="0.3">
      <c r="A208" s="6">
        <v>43922</v>
      </c>
      <c r="B208" s="7">
        <v>9580.2999999999993</v>
      </c>
      <c r="C208" s="7">
        <v>22.38</v>
      </c>
      <c r="D208" s="7">
        <v>2.73</v>
      </c>
      <c r="E208" s="7">
        <v>6.0129999999999999</v>
      </c>
      <c r="F208" s="7">
        <f>(E208/'Yearly GDP'!$B$19)*100</f>
        <v>211.72535211267606</v>
      </c>
      <c r="G208" s="15">
        <f t="shared" si="24"/>
        <v>4.4682752457551385E-2</v>
      </c>
      <c r="H208" s="14">
        <f t="shared" si="25"/>
        <v>0.74310248557377989</v>
      </c>
      <c r="I208" s="7">
        <f t="shared" si="26"/>
        <v>0.65400000000000003</v>
      </c>
      <c r="J208" s="7">
        <f t="shared" si="27"/>
        <v>4.8000000000000001E-2</v>
      </c>
      <c r="K208" s="16">
        <f t="shared" si="28"/>
        <v>0.82299999999999995</v>
      </c>
      <c r="L208" s="16">
        <f t="shared" si="29"/>
        <v>0.09</v>
      </c>
      <c r="M208" s="16">
        <f t="shared" si="30"/>
        <v>0.61780000000000002</v>
      </c>
      <c r="N208" s="7">
        <v>9580.2999999999993</v>
      </c>
      <c r="O208" s="8">
        <v>24750.7</v>
      </c>
      <c r="P208" s="13">
        <f t="shared" si="31"/>
        <v>0.20904280094071614</v>
      </c>
    </row>
    <row r="209" spans="1:16" x14ac:dyDescent="0.3">
      <c r="A209" s="6">
        <v>43952</v>
      </c>
      <c r="B209" s="7">
        <v>10302.1</v>
      </c>
      <c r="C209" s="7">
        <v>26.32</v>
      </c>
      <c r="D209" s="7">
        <v>2.94</v>
      </c>
      <c r="E209" s="7">
        <v>5.8879999999999999</v>
      </c>
      <c r="F209" s="7">
        <f>(E209/'Yearly GDP'!$B$19)*100</f>
        <v>207.32394366197181</v>
      </c>
      <c r="G209" s="15">
        <f t="shared" si="24"/>
        <v>3.7993920972644375E-2</v>
      </c>
      <c r="H209" s="14">
        <f t="shared" si="25"/>
        <v>0.64527719043213949</v>
      </c>
      <c r="I209" s="7">
        <f t="shared" si="26"/>
        <v>0.86799999999999999</v>
      </c>
      <c r="J209" s="7">
        <f t="shared" si="27"/>
        <v>0.109</v>
      </c>
      <c r="K209" s="16">
        <f t="shared" si="28"/>
        <v>0.58599999999999997</v>
      </c>
      <c r="L209" s="16">
        <f t="shared" si="29"/>
        <v>7.0999999999999994E-2</v>
      </c>
      <c r="M209" s="16">
        <f t="shared" si="30"/>
        <v>0.67199999999999993</v>
      </c>
      <c r="N209" s="7">
        <v>10302.1</v>
      </c>
      <c r="O209" s="8">
        <v>25112.400000000001</v>
      </c>
      <c r="P209" s="13">
        <f t="shared" si="31"/>
        <v>0.19506765401642356</v>
      </c>
    </row>
    <row r="210" spans="1:16" x14ac:dyDescent="0.3">
      <c r="A210" s="6">
        <v>43983</v>
      </c>
      <c r="B210" s="7">
        <v>11073.45</v>
      </c>
      <c r="C210" s="7">
        <v>30.2</v>
      </c>
      <c r="D210" s="7">
        <v>3.12</v>
      </c>
      <c r="E210" s="7">
        <v>5.8369999999999997</v>
      </c>
      <c r="F210" s="7">
        <f>(E210/'Yearly GDP'!$B$19)*100</f>
        <v>205.52816901408454</v>
      </c>
      <c r="G210" s="15">
        <f t="shared" si="24"/>
        <v>3.3112582781456956E-2</v>
      </c>
      <c r="H210" s="14">
        <f t="shared" si="25"/>
        <v>0.56728769541642898</v>
      </c>
      <c r="I210" s="7">
        <f t="shared" si="26"/>
        <v>0.96599999999999997</v>
      </c>
      <c r="J210" s="7">
        <f t="shared" si="27"/>
        <v>0.191</v>
      </c>
      <c r="K210" s="16">
        <f t="shared" si="28"/>
        <v>0.214</v>
      </c>
      <c r="L210" s="16">
        <f t="shared" si="29"/>
        <v>6.3E-2</v>
      </c>
      <c r="M210" s="16">
        <f t="shared" si="30"/>
        <v>0.65480000000000005</v>
      </c>
      <c r="N210" s="7">
        <v>11073.45</v>
      </c>
    </row>
    <row r="211" spans="1:16" x14ac:dyDescent="0.3">
      <c r="A211" s="6">
        <v>44013</v>
      </c>
      <c r="B211" s="7">
        <v>11387.5</v>
      </c>
      <c r="C211" s="7">
        <v>32.29</v>
      </c>
      <c r="D211" s="7">
        <v>3.2</v>
      </c>
      <c r="E211" s="7">
        <v>6.0780000000000003</v>
      </c>
      <c r="F211" s="7">
        <f>(E211/'Yearly GDP'!$B$19)*100</f>
        <v>214.01408450704227</v>
      </c>
      <c r="G211" s="15">
        <f t="shared" si="24"/>
        <v>3.0969340353050479E-2</v>
      </c>
      <c r="H211" s="14">
        <f t="shared" si="25"/>
        <v>0.50953175967506548</v>
      </c>
      <c r="I211" s="7">
        <f t="shared" si="26"/>
        <v>0.97699999999999998</v>
      </c>
      <c r="J211" s="7">
        <f t="shared" si="27"/>
        <v>0.24</v>
      </c>
      <c r="K211" s="16">
        <f t="shared" si="28"/>
        <v>0.105</v>
      </c>
      <c r="L211" s="16">
        <f t="shared" si="29"/>
        <v>0.11600000000000001</v>
      </c>
      <c r="M211" s="16">
        <f t="shared" si="30"/>
        <v>0.63660000000000005</v>
      </c>
      <c r="N211" s="7">
        <v>11387.5</v>
      </c>
    </row>
    <row r="212" spans="1:16" x14ac:dyDescent="0.3">
      <c r="A212" s="6">
        <v>44044</v>
      </c>
      <c r="B212" s="7">
        <v>11247.55</v>
      </c>
      <c r="C212" s="7">
        <v>32.69</v>
      </c>
      <c r="D212" s="7">
        <v>3.19</v>
      </c>
      <c r="E212" s="7">
        <v>6.0149999999999997</v>
      </c>
      <c r="F212" s="7">
        <f>(E212/'Yearly GDP'!$B$19)*100</f>
        <v>211.7957746478873</v>
      </c>
      <c r="G212" s="15">
        <f t="shared" si="24"/>
        <v>3.059039461609055E-2</v>
      </c>
      <c r="H212" s="14">
        <f t="shared" si="25"/>
        <v>0.50856848904556196</v>
      </c>
      <c r="I212" s="7">
        <f t="shared" si="26"/>
        <v>0.98099999999999998</v>
      </c>
      <c r="J212" s="7">
        <f t="shared" si="27"/>
        <v>0.22500000000000001</v>
      </c>
      <c r="K212" s="16">
        <f t="shared" si="28"/>
        <v>9.2999999999999999E-2</v>
      </c>
      <c r="L212" s="16">
        <f t="shared" si="29"/>
        <v>9.2999999999999999E-2</v>
      </c>
      <c r="M212" s="16">
        <f t="shared" si="30"/>
        <v>0.63739999999999997</v>
      </c>
      <c r="N212" s="7">
        <v>11247.55</v>
      </c>
    </row>
    <row r="213" spans="1:16" x14ac:dyDescent="0.3">
      <c r="A213" s="6">
        <v>44075</v>
      </c>
      <c r="B213" s="7">
        <v>11642.4</v>
      </c>
      <c r="C213" s="7">
        <v>31.9</v>
      </c>
      <c r="D213" s="7">
        <v>3.3</v>
      </c>
      <c r="E213" s="7">
        <v>5.8810000000000002</v>
      </c>
      <c r="F213" s="7">
        <f>(E213/'Yearly GDP'!$B$19)*100</f>
        <v>207.07746478873244</v>
      </c>
      <c r="G213" s="15">
        <f t="shared" si="24"/>
        <v>3.1347962382445145E-2</v>
      </c>
      <c r="H213" s="14">
        <f t="shared" si="25"/>
        <v>0.53303795923219077</v>
      </c>
      <c r="I213" s="7">
        <f t="shared" si="26"/>
        <v>0.96899999999999997</v>
      </c>
      <c r="J213" s="7">
        <f t="shared" si="27"/>
        <v>0.29299999999999998</v>
      </c>
      <c r="K213" s="16">
        <f t="shared" si="28"/>
        <v>0.124</v>
      </c>
      <c r="L213" s="16">
        <f t="shared" si="29"/>
        <v>6.7000000000000004E-2</v>
      </c>
      <c r="M213" s="16">
        <f t="shared" si="30"/>
        <v>0.65759999999999996</v>
      </c>
      <c r="N213" s="7">
        <v>11642.4</v>
      </c>
    </row>
    <row r="214" spans="1:16" x14ac:dyDescent="0.3">
      <c r="A214" s="6">
        <v>44105</v>
      </c>
      <c r="B214" s="7">
        <v>12968.95</v>
      </c>
      <c r="C214" s="7">
        <v>35.659999999999997</v>
      </c>
      <c r="D214" s="7">
        <v>3.67</v>
      </c>
      <c r="E214" s="7">
        <v>5.9109999999999996</v>
      </c>
      <c r="F214" s="7">
        <f>(E214/'Yearly GDP'!$B$19)*100</f>
        <v>208.13380281690138</v>
      </c>
      <c r="G214" s="15">
        <f t="shared" si="24"/>
        <v>2.8042624789680316E-2</v>
      </c>
      <c r="H214" s="14">
        <f t="shared" si="25"/>
        <v>0.47441422415294054</v>
      </c>
      <c r="I214" s="7">
        <f t="shared" si="26"/>
        <v>0.98799999999999999</v>
      </c>
      <c r="J214" s="7">
        <f t="shared" si="27"/>
        <v>0.58199999999999996</v>
      </c>
      <c r="K214" s="16">
        <f t="shared" si="28"/>
        <v>3.6999999999999998E-2</v>
      </c>
      <c r="L214" s="16">
        <f t="shared" si="29"/>
        <v>7.8E-2</v>
      </c>
      <c r="M214" s="16">
        <f t="shared" si="30"/>
        <v>0.70340000000000003</v>
      </c>
      <c r="N214" s="7">
        <v>12968.95</v>
      </c>
    </row>
    <row r="215" spans="1:16" x14ac:dyDescent="0.3">
      <c r="A215" s="6">
        <v>44136</v>
      </c>
      <c r="B215" s="7">
        <v>13981.75</v>
      </c>
      <c r="C215" s="7">
        <v>38.450000000000003</v>
      </c>
      <c r="D215" s="7">
        <v>3.96</v>
      </c>
      <c r="E215" s="7">
        <v>5.8940000000000001</v>
      </c>
      <c r="F215" s="7">
        <f>(E215/'Yearly GDP'!$B$19)*100</f>
        <v>207.53521126760566</v>
      </c>
      <c r="G215" s="15">
        <f t="shared" si="24"/>
        <v>2.600780234070221E-2</v>
      </c>
      <c r="H215" s="14">
        <f t="shared" si="25"/>
        <v>0.44125894707672564</v>
      </c>
      <c r="I215" s="7">
        <f t="shared" si="26"/>
        <v>0.996</v>
      </c>
      <c r="J215" s="7">
        <f t="shared" si="27"/>
        <v>0.73299999999999998</v>
      </c>
      <c r="K215" s="16">
        <f t="shared" si="28"/>
        <v>3.0000000000000001E-3</v>
      </c>
      <c r="L215" s="16">
        <f t="shared" si="29"/>
        <v>7.4999999999999997E-2</v>
      </c>
      <c r="M215" s="16">
        <f t="shared" si="30"/>
        <v>0.73060000000000014</v>
      </c>
      <c r="N215" s="7">
        <v>13981.75</v>
      </c>
    </row>
    <row r="216" spans="1:16" x14ac:dyDescent="0.3">
      <c r="A216" s="6">
        <v>44166</v>
      </c>
      <c r="B216" s="7">
        <v>13634.6</v>
      </c>
      <c r="C216" s="7">
        <v>36.57</v>
      </c>
      <c r="D216" s="7">
        <v>3.86</v>
      </c>
      <c r="E216" s="7">
        <v>5.9489999999999998</v>
      </c>
      <c r="F216" s="7">
        <f>(E216/'Yearly GDP'!$B$19)*100</f>
        <v>209.47183098591552</v>
      </c>
      <c r="G216" s="15">
        <f t="shared" si="24"/>
        <v>2.7344818156959255E-2</v>
      </c>
      <c r="H216" s="14">
        <f t="shared" si="25"/>
        <v>0.45965402852511772</v>
      </c>
      <c r="I216" s="7">
        <f t="shared" si="26"/>
        <v>0.99199999999999999</v>
      </c>
      <c r="J216" s="7">
        <f t="shared" si="27"/>
        <v>0.69099999999999995</v>
      </c>
      <c r="K216" s="16">
        <f t="shared" si="28"/>
        <v>1.4999999999999999E-2</v>
      </c>
      <c r="L216" s="16">
        <f t="shared" si="29"/>
        <v>8.5999999999999993E-2</v>
      </c>
      <c r="M216" s="16">
        <f t="shared" si="30"/>
        <v>0.72080000000000011</v>
      </c>
      <c r="N216" s="7">
        <v>13634.6</v>
      </c>
    </row>
    <row r="217" spans="1:16" x14ac:dyDescent="0.3">
      <c r="A217" s="6">
        <v>44197</v>
      </c>
      <c r="B217" s="7">
        <v>14529.15</v>
      </c>
      <c r="C217" s="7">
        <v>39.65</v>
      </c>
      <c r="D217" s="7">
        <v>4.12</v>
      </c>
      <c r="E217" s="7">
        <v>6.2290000000000001</v>
      </c>
      <c r="F217" s="7">
        <f>(E217/'Yearly GDP'!$B$20)*100</f>
        <v>233.29588014981275</v>
      </c>
      <c r="G217" s="15">
        <f t="shared" si="24"/>
        <v>2.5220680958385876E-2</v>
      </c>
      <c r="H217" s="14">
        <f t="shared" si="25"/>
        <v>0.40489133020365825</v>
      </c>
      <c r="I217" s="7">
        <f t="shared" si="26"/>
        <v>1</v>
      </c>
      <c r="J217" s="7">
        <f t="shared" si="27"/>
        <v>0.77800000000000002</v>
      </c>
      <c r="K217" s="16">
        <f t="shared" si="28"/>
        <v>0</v>
      </c>
      <c r="L217" s="16">
        <f t="shared" si="29"/>
        <v>0.214</v>
      </c>
      <c r="M217" s="16">
        <f t="shared" si="30"/>
        <v>0.7128000000000001</v>
      </c>
      <c r="N217" s="7">
        <v>14529.15</v>
      </c>
    </row>
    <row r="218" spans="1:16" x14ac:dyDescent="0.3">
      <c r="A218" s="6">
        <v>44228</v>
      </c>
      <c r="B218" s="7">
        <v>14690.7</v>
      </c>
      <c r="C218" s="7">
        <v>33.200000000000003</v>
      </c>
      <c r="D218" s="7">
        <v>4.2</v>
      </c>
      <c r="E218" s="7">
        <v>6.1769999999999996</v>
      </c>
      <c r="F218" s="7">
        <f>(E218/'Yearly GDP'!$B$20)*100</f>
        <v>231.34831460674155</v>
      </c>
      <c r="G218" s="15">
        <f t="shared" si="24"/>
        <v>3.012048192771084E-2</v>
      </c>
      <c r="H218" s="14">
        <f t="shared" si="25"/>
        <v>0.48762314922633709</v>
      </c>
      <c r="I218" s="7">
        <f t="shared" si="26"/>
        <v>0.98399999999999999</v>
      </c>
      <c r="J218" s="7">
        <f t="shared" si="27"/>
        <v>0.80400000000000005</v>
      </c>
      <c r="K218" s="16">
        <f t="shared" si="28"/>
        <v>4.8000000000000001E-2</v>
      </c>
      <c r="L218" s="16">
        <f t="shared" si="29"/>
        <v>0.191</v>
      </c>
      <c r="M218" s="16">
        <f t="shared" si="30"/>
        <v>0.7258</v>
      </c>
      <c r="N218" s="7">
        <v>14690.7</v>
      </c>
    </row>
    <row r="219" spans="1:16" x14ac:dyDescent="0.3">
      <c r="A219" s="6">
        <v>44256</v>
      </c>
      <c r="B219" s="7">
        <v>14631.1</v>
      </c>
      <c r="C219" s="7">
        <v>32.21</v>
      </c>
      <c r="D219" s="7">
        <v>4.1900000000000004</v>
      </c>
      <c r="E219" s="7">
        <v>6.03</v>
      </c>
      <c r="F219" s="7">
        <f>(E219/'Yearly GDP'!$B$20)*100</f>
        <v>225.84269662921349</v>
      </c>
      <c r="G219" s="15">
        <f t="shared" si="24"/>
        <v>3.1046258925799441E-2</v>
      </c>
      <c r="H219" s="14">
        <f t="shared" si="25"/>
        <v>0.51486333210280999</v>
      </c>
      <c r="I219" s="7">
        <f t="shared" si="26"/>
        <v>0.97299999999999998</v>
      </c>
      <c r="J219" s="7">
        <f t="shared" si="27"/>
        <v>0.8</v>
      </c>
      <c r="K219" s="16">
        <f t="shared" si="28"/>
        <v>0.109</v>
      </c>
      <c r="L219" s="16">
        <f t="shared" si="29"/>
        <v>0.16900000000000001</v>
      </c>
      <c r="M219" s="16">
        <f t="shared" si="30"/>
        <v>0.73720000000000008</v>
      </c>
      <c r="N219" s="7">
        <v>14631.1</v>
      </c>
    </row>
    <row r="220" spans="1:16" x14ac:dyDescent="0.3">
      <c r="A220" s="6">
        <v>44287</v>
      </c>
      <c r="B220" s="7">
        <v>15582.8</v>
      </c>
      <c r="C220" s="7">
        <v>29.22</v>
      </c>
      <c r="D220" s="7">
        <v>4.3899999999999997</v>
      </c>
      <c r="E220" s="7">
        <v>6.0220000000000002</v>
      </c>
      <c r="F220" s="7">
        <f>(E220/'Yearly GDP'!$B$20)*100</f>
        <v>225.54307116104872</v>
      </c>
      <c r="G220" s="15">
        <f t="shared" si="24"/>
        <v>3.4223134839151265E-2</v>
      </c>
      <c r="H220" s="14">
        <f t="shared" si="25"/>
        <v>0.56830180735887181</v>
      </c>
      <c r="I220" s="7">
        <f t="shared" si="26"/>
        <v>0.95399999999999996</v>
      </c>
      <c r="J220" s="7">
        <f t="shared" si="27"/>
        <v>0.86799999999999999</v>
      </c>
      <c r="K220" s="16">
        <f t="shared" si="28"/>
        <v>0.218</v>
      </c>
      <c r="L220" s="16">
        <f t="shared" si="29"/>
        <v>0.16500000000000001</v>
      </c>
      <c r="M220" s="16">
        <f t="shared" si="30"/>
        <v>0.76580000000000004</v>
      </c>
      <c r="N220" s="7">
        <v>15582.8</v>
      </c>
    </row>
    <row r="221" spans="1:16" x14ac:dyDescent="0.3">
      <c r="A221" s="6">
        <v>44317</v>
      </c>
      <c r="B221" s="7">
        <v>15721.5</v>
      </c>
      <c r="C221" s="7">
        <v>28.33</v>
      </c>
      <c r="D221" s="7">
        <v>4.24</v>
      </c>
      <c r="E221" s="7">
        <v>6.0510000000000002</v>
      </c>
      <c r="F221" s="7">
        <f>(E221/'Yearly GDP'!$B$20)*100</f>
        <v>226.62921348314606</v>
      </c>
      <c r="G221" s="15">
        <f t="shared" si="24"/>
        <v>3.5298270384751147E-2</v>
      </c>
      <c r="H221" s="14">
        <f t="shared" si="25"/>
        <v>0.58334606486119889</v>
      </c>
      <c r="I221" s="7">
        <f t="shared" si="26"/>
        <v>0.93899999999999995</v>
      </c>
      <c r="J221" s="7">
        <f t="shared" si="27"/>
        <v>0.82299999999999995</v>
      </c>
      <c r="K221" s="16">
        <f t="shared" si="28"/>
        <v>0.26600000000000001</v>
      </c>
      <c r="L221" s="16">
        <f t="shared" si="29"/>
        <v>0.17199999999999999</v>
      </c>
      <c r="M221" s="16">
        <f t="shared" si="30"/>
        <v>0.75900000000000012</v>
      </c>
      <c r="N221" s="7">
        <v>15721.5</v>
      </c>
    </row>
    <row r="222" spans="1:16" x14ac:dyDescent="0.3">
      <c r="A222" s="6">
        <v>44348</v>
      </c>
      <c r="B222" s="7">
        <v>15763.05</v>
      </c>
      <c r="C222" s="7">
        <v>27.01</v>
      </c>
      <c r="D222" s="7">
        <v>4.12</v>
      </c>
      <c r="E222" s="7">
        <v>6.2039999999999997</v>
      </c>
      <c r="F222" s="7">
        <f>(E222/'Yearly GDP'!$B$20)*100</f>
        <v>232.35955056179773</v>
      </c>
      <c r="G222" s="15">
        <f t="shared" si="24"/>
        <v>3.7023324694557568E-2</v>
      </c>
      <c r="H222" s="14">
        <f t="shared" si="25"/>
        <v>0.59676538837133408</v>
      </c>
      <c r="I222" s="7">
        <f t="shared" si="26"/>
        <v>0.90200000000000002</v>
      </c>
      <c r="J222" s="7">
        <f t="shared" si="27"/>
        <v>0.77800000000000002</v>
      </c>
      <c r="K222" s="16">
        <f t="shared" si="28"/>
        <v>0.32300000000000001</v>
      </c>
      <c r="L222" s="16">
        <f t="shared" si="29"/>
        <v>0.19900000000000001</v>
      </c>
      <c r="M222" s="16">
        <f t="shared" si="30"/>
        <v>0.74119999999999997</v>
      </c>
      <c r="N222" s="7">
        <v>15763.05</v>
      </c>
    </row>
    <row r="223" spans="1:16" x14ac:dyDescent="0.3">
      <c r="A223" s="6">
        <v>44378</v>
      </c>
      <c r="B223" s="7">
        <v>17132.2</v>
      </c>
      <c r="C223" s="7">
        <v>26.25</v>
      </c>
      <c r="D223" s="7">
        <v>4.33</v>
      </c>
      <c r="E223" s="7">
        <v>6.2149999999999999</v>
      </c>
      <c r="F223" s="7">
        <f>(E223/'Yearly GDP'!$B$20)*100</f>
        <v>232.77153558052436</v>
      </c>
      <c r="G223" s="15">
        <f t="shared" si="24"/>
        <v>3.8095238095238099E-2</v>
      </c>
      <c r="H223" s="14">
        <f t="shared" si="25"/>
        <v>0.61295636516875462</v>
      </c>
      <c r="I223" s="7">
        <f t="shared" si="26"/>
        <v>0.85699999999999998</v>
      </c>
      <c r="J223" s="7">
        <f t="shared" si="27"/>
        <v>0.84499999999999997</v>
      </c>
      <c r="K223" s="16">
        <f t="shared" si="28"/>
        <v>0.41299999999999998</v>
      </c>
      <c r="L223" s="16">
        <f t="shared" si="29"/>
        <v>0.20300000000000001</v>
      </c>
      <c r="M223" s="16">
        <f t="shared" si="30"/>
        <v>0.75380000000000003</v>
      </c>
      <c r="N223" s="7">
        <v>17132.2</v>
      </c>
    </row>
    <row r="224" spans="1:16" x14ac:dyDescent="0.3">
      <c r="A224" s="6">
        <v>44409</v>
      </c>
      <c r="B224" s="7">
        <v>17618.150000000001</v>
      </c>
      <c r="C224" s="7">
        <v>26.98</v>
      </c>
      <c r="D224" s="7">
        <v>4.41</v>
      </c>
      <c r="E224" s="7">
        <v>6.2229999999999999</v>
      </c>
      <c r="F224" s="7">
        <f>(E224/'Yearly GDP'!$B$20)*100</f>
        <v>233.07116104868913</v>
      </c>
      <c r="G224" s="15">
        <f t="shared" si="24"/>
        <v>3.7064492216456635E-2</v>
      </c>
      <c r="H224" s="14">
        <f t="shared" si="25"/>
        <v>0.59560488858198035</v>
      </c>
      <c r="I224" s="7">
        <f t="shared" si="26"/>
        <v>0.89800000000000002</v>
      </c>
      <c r="J224" s="7">
        <f t="shared" si="27"/>
        <v>0.879</v>
      </c>
      <c r="K224" s="16">
        <f t="shared" si="28"/>
        <v>0.315</v>
      </c>
      <c r="L224" s="16">
        <f t="shared" si="29"/>
        <v>0.20599999999999999</v>
      </c>
      <c r="M224" s="16">
        <f t="shared" si="30"/>
        <v>0.75680000000000014</v>
      </c>
      <c r="N224" s="7">
        <v>17618.150000000001</v>
      </c>
    </row>
    <row r="225" spans="1:14" x14ac:dyDescent="0.3">
      <c r="A225" s="6">
        <v>44440</v>
      </c>
      <c r="B225" s="7">
        <v>17671.650000000001</v>
      </c>
      <c r="C225" s="7">
        <v>25.71</v>
      </c>
      <c r="D225" s="7">
        <v>4.43</v>
      </c>
      <c r="E225" s="7">
        <v>6.3879999999999999</v>
      </c>
      <c r="F225" s="7">
        <f>(E225/'Yearly GDP'!$B$20)*100</f>
        <v>239.250936329588</v>
      </c>
      <c r="G225" s="15">
        <f t="shared" si="24"/>
        <v>3.8895371450797356E-2</v>
      </c>
      <c r="H225" s="14">
        <f t="shared" si="25"/>
        <v>0.6088818323543731</v>
      </c>
      <c r="I225" s="7">
        <f t="shared" si="26"/>
        <v>0.83799999999999997</v>
      </c>
      <c r="J225" s="7">
        <f t="shared" si="27"/>
        <v>0.88300000000000001</v>
      </c>
      <c r="K225" s="16">
        <f t="shared" si="28"/>
        <v>0.39400000000000002</v>
      </c>
      <c r="L225" s="16">
        <f t="shared" si="29"/>
        <v>0.23599999999999999</v>
      </c>
      <c r="M225" s="16">
        <f t="shared" si="30"/>
        <v>0.74340000000000006</v>
      </c>
      <c r="N225" s="7">
        <v>17671.650000000001</v>
      </c>
    </row>
    <row r="226" spans="1:14" x14ac:dyDescent="0.3">
      <c r="A226" s="6">
        <v>44470</v>
      </c>
      <c r="B226" s="7">
        <v>16983.2</v>
      </c>
      <c r="C226" s="7">
        <v>23.43</v>
      </c>
      <c r="D226" s="7">
        <v>4.25</v>
      </c>
      <c r="E226" s="7">
        <v>6.3259999999999996</v>
      </c>
      <c r="F226" s="7">
        <f>(E226/'Yearly GDP'!$B$20)*100</f>
        <v>236.92883895131084</v>
      </c>
      <c r="G226" s="15">
        <f t="shared" si="24"/>
        <v>4.2680324370465213E-2</v>
      </c>
      <c r="H226" s="14">
        <f t="shared" si="25"/>
        <v>0.67468106813887474</v>
      </c>
      <c r="I226" s="7">
        <f t="shared" si="26"/>
        <v>0.75900000000000001</v>
      </c>
      <c r="J226" s="7">
        <f t="shared" si="27"/>
        <v>0.83</v>
      </c>
      <c r="K226" s="16">
        <f t="shared" si="28"/>
        <v>0.69499999999999995</v>
      </c>
      <c r="L226" s="16">
        <f t="shared" si="29"/>
        <v>0.23300000000000001</v>
      </c>
      <c r="M226" s="16">
        <f t="shared" si="30"/>
        <v>0.76200000000000001</v>
      </c>
      <c r="N226" s="7">
        <v>16983.2</v>
      </c>
    </row>
    <row r="227" spans="1:14" x14ac:dyDescent="0.3">
      <c r="A227" s="6">
        <v>44501</v>
      </c>
      <c r="B227" s="7">
        <v>17354.05</v>
      </c>
      <c r="C227" s="7">
        <v>24.11</v>
      </c>
      <c r="D227" s="7">
        <v>4.37</v>
      </c>
      <c r="E227" s="7">
        <v>6.4539999999999997</v>
      </c>
      <c r="F227" s="7">
        <f>(E227/'Yearly GDP'!$B$20)*100</f>
        <v>241.72284644194755</v>
      </c>
      <c r="G227" s="15">
        <f t="shared" si="24"/>
        <v>4.14765657403567E-2</v>
      </c>
      <c r="H227" s="14">
        <f t="shared" si="25"/>
        <v>0.64264898884965449</v>
      </c>
      <c r="I227" s="7">
        <f t="shared" si="26"/>
        <v>0.78100000000000003</v>
      </c>
      <c r="J227" s="7">
        <f t="shared" si="27"/>
        <v>0.85299999999999998</v>
      </c>
      <c r="K227" s="16">
        <f t="shared" si="28"/>
        <v>0.57499999999999996</v>
      </c>
      <c r="L227" s="16">
        <f t="shared" si="29"/>
        <v>0.24399999999999999</v>
      </c>
      <c r="M227" s="16">
        <f t="shared" si="30"/>
        <v>0.74919999999999998</v>
      </c>
      <c r="N227" s="7">
        <v>17354.05</v>
      </c>
    </row>
    <row r="228" spans="1:14" x14ac:dyDescent="0.3">
      <c r="A228" s="6">
        <v>44531</v>
      </c>
      <c r="B228" s="8">
        <v>17339.849999999999</v>
      </c>
      <c r="C228" s="8">
        <v>23.42</v>
      </c>
      <c r="D228" s="8">
        <v>4.37</v>
      </c>
      <c r="E228" s="8">
        <v>6.6840000000000002</v>
      </c>
      <c r="F228" s="7">
        <f>(E228/'Yearly GDP'!$B$20)*100</f>
        <v>250.33707865168543</v>
      </c>
      <c r="G228" s="15">
        <f t="shared" si="24"/>
        <v>4.2698548249359522E-2</v>
      </c>
      <c r="H228" s="14">
        <f t="shared" si="25"/>
        <v>0.63881729876360749</v>
      </c>
      <c r="I228" s="7">
        <f t="shared" si="26"/>
        <v>0.755</v>
      </c>
      <c r="J228" s="7">
        <f t="shared" si="27"/>
        <v>0.85299999999999998</v>
      </c>
      <c r="K228" s="16">
        <f t="shared" si="28"/>
        <v>0.55200000000000005</v>
      </c>
      <c r="L228" s="16">
        <f t="shared" si="29"/>
        <v>0.26600000000000001</v>
      </c>
      <c r="M228" s="16">
        <f t="shared" si="30"/>
        <v>0.72980000000000012</v>
      </c>
      <c r="N228" s="8">
        <v>17339.849999999999</v>
      </c>
    </row>
    <row r="229" spans="1:14" x14ac:dyDescent="0.3">
      <c r="A229" s="6">
        <v>44562</v>
      </c>
      <c r="B229" s="8">
        <v>16793.900000000001</v>
      </c>
      <c r="C229" s="8">
        <v>21.59</v>
      </c>
      <c r="D229" s="8">
        <v>4.2300000000000004</v>
      </c>
      <c r="E229" s="8">
        <v>6.77</v>
      </c>
      <c r="F229" s="7">
        <f>(E229/'Yearly GDP'!$B$21)*100</f>
        <v>213.56466876971609</v>
      </c>
      <c r="G229" s="15">
        <f t="shared" si="24"/>
        <v>4.6317739694302917E-2</v>
      </c>
      <c r="H229" s="14">
        <f t="shared" si="25"/>
        <v>0.68416159075779792</v>
      </c>
      <c r="I229" s="7">
        <f t="shared" si="26"/>
        <v>0.54100000000000004</v>
      </c>
      <c r="J229" s="7">
        <f t="shared" si="27"/>
        <v>0.81200000000000006</v>
      </c>
      <c r="K229" s="16">
        <f t="shared" si="28"/>
        <v>0.72099999999999997</v>
      </c>
      <c r="L229" s="16">
        <f t="shared" si="29"/>
        <v>0.109</v>
      </c>
      <c r="M229" s="16">
        <f t="shared" si="30"/>
        <v>0.70120000000000005</v>
      </c>
      <c r="N229" s="8">
        <v>16793.900000000001</v>
      </c>
    </row>
    <row r="230" spans="1:14" x14ac:dyDescent="0.3">
      <c r="A230" s="6">
        <v>44593</v>
      </c>
      <c r="B230" s="8">
        <v>17464.75</v>
      </c>
      <c r="C230" s="8">
        <v>22.92</v>
      </c>
      <c r="D230" s="8">
        <v>4.46</v>
      </c>
      <c r="E230" s="8">
        <v>6.843</v>
      </c>
      <c r="F230" s="7">
        <f>(E230/'Yearly GDP'!$B$21)*100</f>
        <v>215.86750788643533</v>
      </c>
      <c r="G230" s="15">
        <f t="shared" si="24"/>
        <v>4.3630017452006981E-2</v>
      </c>
      <c r="H230" s="14">
        <f t="shared" si="25"/>
        <v>0.637586109191977</v>
      </c>
      <c r="I230" s="7">
        <f t="shared" si="26"/>
        <v>0.71</v>
      </c>
      <c r="J230" s="7">
        <f t="shared" si="27"/>
        <v>0.88700000000000001</v>
      </c>
      <c r="K230" s="16">
        <f t="shared" si="28"/>
        <v>0.54100000000000004</v>
      </c>
      <c r="L230" s="16">
        <f t="shared" si="29"/>
        <v>0.13500000000000001</v>
      </c>
      <c r="M230" s="16">
        <f t="shared" si="30"/>
        <v>0.74260000000000004</v>
      </c>
      <c r="N230" s="8">
        <v>17464.75</v>
      </c>
    </row>
    <row r="231" spans="1:14" x14ac:dyDescent="0.3">
      <c r="A231" s="6">
        <v>44621</v>
      </c>
      <c r="B231" s="8">
        <v>17102.55</v>
      </c>
      <c r="C231" s="8">
        <v>22.01</v>
      </c>
      <c r="D231" s="8">
        <v>4.37</v>
      </c>
      <c r="E231" s="8">
        <v>7.1390000000000002</v>
      </c>
      <c r="F231" s="7">
        <f>(E231/'Yearly GDP'!$B$21)*100</f>
        <v>225.205047318612</v>
      </c>
      <c r="G231" s="15">
        <f t="shared" si="24"/>
        <v>4.5433893684688774E-2</v>
      </c>
      <c r="H231" s="14">
        <f t="shared" si="25"/>
        <v>0.63641817740143958</v>
      </c>
      <c r="I231" s="7">
        <f t="shared" si="26"/>
        <v>0.58199999999999996</v>
      </c>
      <c r="J231" s="7">
        <f t="shared" si="27"/>
        <v>0.85299999999999998</v>
      </c>
      <c r="K231" s="16">
        <f t="shared" si="28"/>
        <v>0.53300000000000003</v>
      </c>
      <c r="L231" s="16">
        <f t="shared" si="29"/>
        <v>0.161</v>
      </c>
      <c r="M231" s="16">
        <f t="shared" si="30"/>
        <v>0.67779999999999996</v>
      </c>
      <c r="N231" s="8">
        <v>17102.55</v>
      </c>
    </row>
    <row r="232" spans="1:14" x14ac:dyDescent="0.3">
      <c r="A232" s="6">
        <v>44652</v>
      </c>
      <c r="B232" s="8">
        <v>16584.55</v>
      </c>
      <c r="C232" s="8">
        <v>20.440000000000001</v>
      </c>
      <c r="D232" s="8">
        <v>4.24</v>
      </c>
      <c r="E232" s="8">
        <v>7.415</v>
      </c>
      <c r="F232" s="7">
        <f>(E232/'Yearly GDP'!$B$21)*100</f>
        <v>233.91167192429023</v>
      </c>
      <c r="G232" s="15">
        <f t="shared" si="24"/>
        <v>4.8923679060665359E-2</v>
      </c>
      <c r="H232" s="14">
        <f t="shared" si="25"/>
        <v>0.65979337910539937</v>
      </c>
      <c r="I232" s="7">
        <f t="shared" si="26"/>
        <v>0.379</v>
      </c>
      <c r="J232" s="7">
        <f t="shared" si="27"/>
        <v>0.82299999999999995</v>
      </c>
      <c r="K232" s="16">
        <f t="shared" si="28"/>
        <v>0.63500000000000001</v>
      </c>
      <c r="L232" s="16">
        <f t="shared" si="29"/>
        <v>0.218</v>
      </c>
      <c r="M232" s="16">
        <f t="shared" si="30"/>
        <v>0.59960000000000002</v>
      </c>
      <c r="N232" s="8">
        <v>16584.55</v>
      </c>
    </row>
    <row r="233" spans="1:14" x14ac:dyDescent="0.3">
      <c r="A233" s="6">
        <v>44682</v>
      </c>
      <c r="B233" s="8">
        <v>15780.25</v>
      </c>
      <c r="C233" s="8">
        <v>19.5</v>
      </c>
      <c r="D233" s="8">
        <v>4.03</v>
      </c>
      <c r="E233" s="8">
        <v>7.45</v>
      </c>
      <c r="F233" s="7">
        <f>(E233/'Yearly GDP'!$B$21)*100</f>
        <v>235.01577287066246</v>
      </c>
      <c r="G233" s="15">
        <f t="shared" si="24"/>
        <v>5.128205128205128E-2</v>
      </c>
      <c r="H233" s="14">
        <f t="shared" si="25"/>
        <v>0.68834968163827226</v>
      </c>
      <c r="I233" s="7">
        <f t="shared" si="26"/>
        <v>0.31900000000000001</v>
      </c>
      <c r="J233" s="7">
        <f t="shared" si="27"/>
        <v>0.75900000000000001</v>
      </c>
      <c r="K233" s="16">
        <f t="shared" si="28"/>
        <v>0.73299999999999998</v>
      </c>
      <c r="L233" s="16">
        <f t="shared" si="29"/>
        <v>0.22500000000000001</v>
      </c>
      <c r="M233" s="16">
        <f t="shared" si="30"/>
        <v>0.58100000000000007</v>
      </c>
      <c r="N233" s="8">
        <v>15780.25</v>
      </c>
    </row>
    <row r="234" spans="1:14" x14ac:dyDescent="0.3">
      <c r="A234" s="6">
        <v>44713</v>
      </c>
      <c r="B234" s="8">
        <v>17158.25</v>
      </c>
      <c r="C234" s="8">
        <v>20.73</v>
      </c>
      <c r="D234" s="8">
        <v>4.12</v>
      </c>
      <c r="E234" s="8">
        <v>7.32</v>
      </c>
      <c r="F234" s="7">
        <f>(E234/'Yearly GDP'!$B$21)*100</f>
        <v>230.91482649842274</v>
      </c>
      <c r="G234" s="15">
        <f t="shared" si="24"/>
        <v>4.8239266763145196E-2</v>
      </c>
      <c r="H234" s="14">
        <f t="shared" si="25"/>
        <v>0.65900637654569938</v>
      </c>
      <c r="I234" s="7">
        <f t="shared" si="26"/>
        <v>0.42799999999999999</v>
      </c>
      <c r="J234" s="7">
        <f t="shared" si="27"/>
        <v>0.77800000000000002</v>
      </c>
      <c r="K234" s="16">
        <f t="shared" si="28"/>
        <v>0.63100000000000001</v>
      </c>
      <c r="L234" s="16">
        <f t="shared" si="29"/>
        <v>0.184</v>
      </c>
      <c r="M234" s="16">
        <f t="shared" si="30"/>
        <v>0.61620000000000008</v>
      </c>
      <c r="N234" s="8">
        <v>17158.25</v>
      </c>
    </row>
    <row r="235" spans="1:14" x14ac:dyDescent="0.3">
      <c r="A235" s="6">
        <v>44743</v>
      </c>
      <c r="B235" s="7">
        <v>17759.3</v>
      </c>
      <c r="C235" s="8">
        <v>21.2</v>
      </c>
      <c r="D235" s="7">
        <v>4.12</v>
      </c>
      <c r="E235" s="7">
        <v>7.1890000000000001</v>
      </c>
      <c r="F235" s="7">
        <f>(E235/'Yearly GDP'!$B$21)*100</f>
        <v>226.78233438485807</v>
      </c>
      <c r="G235" s="15">
        <f t="shared" si="24"/>
        <v>4.716981132075472E-2</v>
      </c>
      <c r="H235" s="14">
        <f t="shared" si="25"/>
        <v>0.65613870247259309</v>
      </c>
      <c r="I235" s="7">
        <f t="shared" si="26"/>
        <v>0.49199999999999999</v>
      </c>
      <c r="J235" s="7">
        <f t="shared" si="27"/>
        <v>0.77800000000000002</v>
      </c>
      <c r="K235" s="16">
        <f t="shared" si="28"/>
        <v>0.61599999999999999</v>
      </c>
      <c r="L235" s="16">
        <f t="shared" si="29"/>
        <v>0.17599999999999999</v>
      </c>
      <c r="M235" s="16">
        <f t="shared" si="30"/>
        <v>0.64040000000000008</v>
      </c>
      <c r="N235" s="7">
        <v>17759.3</v>
      </c>
    </row>
    <row r="236" spans="1:14" x14ac:dyDescent="0.3">
      <c r="A236" s="6">
        <v>44774</v>
      </c>
      <c r="B236" s="7">
        <v>17094.349999999999</v>
      </c>
      <c r="C236" s="7">
        <v>20.64</v>
      </c>
      <c r="D236" s="7">
        <v>4.0199999999999996</v>
      </c>
      <c r="E236" s="7">
        <v>7.3929999999999998</v>
      </c>
      <c r="F236" s="7">
        <f>(E236/'Yearly GDP'!$B$21)*100</f>
        <v>233.21766561514195</v>
      </c>
      <c r="G236" s="15">
        <f t="shared" si="24"/>
        <v>4.8449612403100771E-2</v>
      </c>
      <c r="H236" s="14">
        <f t="shared" si="25"/>
        <v>0.65534441232383023</v>
      </c>
      <c r="I236" s="7">
        <f t="shared" si="26"/>
        <v>0.41299999999999998</v>
      </c>
      <c r="J236" s="7">
        <f t="shared" si="27"/>
        <v>0.755</v>
      </c>
      <c r="K236" s="16">
        <f t="shared" si="28"/>
        <v>0.61199999999999999</v>
      </c>
      <c r="L236" s="16">
        <f t="shared" si="29"/>
        <v>0.21</v>
      </c>
      <c r="M236" s="16">
        <f t="shared" si="30"/>
        <v>0.59660000000000002</v>
      </c>
      <c r="N236" s="7">
        <v>17094.349999999999</v>
      </c>
    </row>
    <row r="237" spans="1:14" x14ac:dyDescent="0.3">
      <c r="A237" s="6">
        <v>44805</v>
      </c>
      <c r="B237" s="7">
        <v>18012.2</v>
      </c>
      <c r="C237" s="7">
        <v>21.42</v>
      </c>
      <c r="D237" s="7">
        <v>4.2300000000000004</v>
      </c>
      <c r="E237" s="7">
        <v>7.4470000000000001</v>
      </c>
      <c r="F237" s="7">
        <f>(E237/'Yearly GDP'!$B$21)*100</f>
        <v>234.92113564668767</v>
      </c>
      <c r="G237" s="15">
        <f t="shared" si="24"/>
        <v>4.6685340802987856E-2</v>
      </c>
      <c r="H237" s="14">
        <f t="shared" si="25"/>
        <v>0.62690131332063725</v>
      </c>
      <c r="I237" s="7">
        <f t="shared" si="26"/>
        <v>0.52200000000000002</v>
      </c>
      <c r="J237" s="7">
        <f t="shared" si="27"/>
        <v>0.81200000000000006</v>
      </c>
      <c r="K237" s="16">
        <f t="shared" si="28"/>
        <v>0.48799999999999999</v>
      </c>
      <c r="L237" s="16">
        <f t="shared" si="29"/>
        <v>0.221</v>
      </c>
      <c r="M237" s="16">
        <f t="shared" si="30"/>
        <v>0.62460000000000004</v>
      </c>
      <c r="N237" s="7">
        <v>18012.2</v>
      </c>
    </row>
    <row r="238" spans="1:14" x14ac:dyDescent="0.3">
      <c r="A238" s="6">
        <v>44835</v>
      </c>
      <c r="B238" s="7">
        <v>18758.349999999999</v>
      </c>
      <c r="C238" s="7">
        <v>22.54</v>
      </c>
      <c r="D238" s="7">
        <v>4.4000000000000004</v>
      </c>
      <c r="E238" s="7">
        <v>7.28</v>
      </c>
      <c r="F238" s="7">
        <f>(E238/'Yearly GDP'!$B$21)*100</f>
        <v>229.65299684542586</v>
      </c>
      <c r="G238" s="15">
        <f t="shared" si="24"/>
        <v>4.4365572315882874E-2</v>
      </c>
      <c r="H238" s="14">
        <f t="shared" si="25"/>
        <v>0.60941720214124817</v>
      </c>
      <c r="I238" s="7">
        <f t="shared" si="26"/>
        <v>0.66100000000000003</v>
      </c>
      <c r="J238" s="7">
        <f t="shared" si="27"/>
        <v>0.872</v>
      </c>
      <c r="K238" s="16">
        <f t="shared" si="28"/>
        <v>0.39800000000000002</v>
      </c>
      <c r="L238" s="16">
        <f t="shared" si="29"/>
        <v>0.18</v>
      </c>
      <c r="M238" s="16">
        <f t="shared" si="30"/>
        <v>0.68240000000000001</v>
      </c>
      <c r="N238" s="7">
        <v>18758.349999999999</v>
      </c>
    </row>
    <row r="239" spans="1:14" x14ac:dyDescent="0.3">
      <c r="A239" s="6">
        <v>44866</v>
      </c>
      <c r="B239" s="7">
        <v>18105.3</v>
      </c>
      <c r="C239" s="7">
        <v>21.79</v>
      </c>
      <c r="D239" s="7">
        <v>4.25</v>
      </c>
      <c r="E239" s="7">
        <v>7.32</v>
      </c>
      <c r="F239" s="7">
        <f>(E239/'Yearly GDP'!$B$21)*100</f>
        <v>230.91482649842274</v>
      </c>
      <c r="G239" s="15">
        <f t="shared" si="24"/>
        <v>4.5892611289582379E-2</v>
      </c>
      <c r="H239" s="14">
        <f t="shared" si="25"/>
        <v>0.62694824166096152</v>
      </c>
      <c r="I239" s="7">
        <f t="shared" si="26"/>
        <v>0.55200000000000005</v>
      </c>
      <c r="J239" s="7">
        <f t="shared" si="27"/>
        <v>0.83</v>
      </c>
      <c r="K239" s="16">
        <f t="shared" si="28"/>
        <v>0.49199999999999999</v>
      </c>
      <c r="L239" s="16">
        <f t="shared" si="29"/>
        <v>0.184</v>
      </c>
      <c r="M239" s="16">
        <f t="shared" si="30"/>
        <v>0.64840000000000009</v>
      </c>
      <c r="N239" s="7">
        <v>18105.3</v>
      </c>
    </row>
    <row r="240" spans="1:14" x14ac:dyDescent="0.3">
      <c r="A240" s="6">
        <v>44896</v>
      </c>
      <c r="B240" s="7">
        <v>17662.150000000001</v>
      </c>
      <c r="C240" s="7">
        <v>20.73</v>
      </c>
      <c r="D240" s="7">
        <v>4.1399999999999997</v>
      </c>
      <c r="E240" s="7">
        <v>7.34</v>
      </c>
      <c r="F240" s="7">
        <f>(E240/'Yearly GDP'!$B$21)*100</f>
        <v>231.54574132492112</v>
      </c>
      <c r="G240" s="15">
        <f t="shared" si="24"/>
        <v>4.8239266763145196E-2</v>
      </c>
      <c r="H240" s="14">
        <f t="shared" si="25"/>
        <v>0.65721071884394</v>
      </c>
      <c r="I240" s="7">
        <f t="shared" si="26"/>
        <v>0.42799999999999999</v>
      </c>
      <c r="J240" s="7">
        <f t="shared" si="27"/>
        <v>0.79300000000000004</v>
      </c>
      <c r="K240" s="16">
        <f t="shared" si="28"/>
        <v>0.62</v>
      </c>
      <c r="L240" s="16">
        <f t="shared" si="29"/>
        <v>0.19500000000000001</v>
      </c>
      <c r="M240" s="16">
        <f t="shared" si="30"/>
        <v>0.61480000000000001</v>
      </c>
      <c r="N240" s="7">
        <v>17662.150000000001</v>
      </c>
    </row>
    <row r="241" spans="1:14" x14ac:dyDescent="0.3">
      <c r="A241" s="6">
        <v>44927</v>
      </c>
      <c r="B241" s="7">
        <v>17303.95</v>
      </c>
      <c r="C241" s="7">
        <v>20.39</v>
      </c>
      <c r="D241" s="7">
        <v>4.05</v>
      </c>
      <c r="E241" s="7">
        <v>7.45</v>
      </c>
      <c r="F241" s="7">
        <f>(E241/'Yearly GDP'!$B$22)*100</f>
        <v>222.38805970149252</v>
      </c>
      <c r="G241" s="15">
        <f t="shared" si="24"/>
        <v>4.9043648847474253E-2</v>
      </c>
      <c r="H241" s="14">
        <f t="shared" si="25"/>
        <v>0.65830401137549333</v>
      </c>
      <c r="I241" s="7">
        <f t="shared" si="26"/>
        <v>0.36799999999999999</v>
      </c>
      <c r="J241" s="7">
        <f t="shared" si="27"/>
        <v>0.76300000000000001</v>
      </c>
      <c r="K241" s="16">
        <f t="shared" si="28"/>
        <v>0.627</v>
      </c>
      <c r="L241" s="16">
        <f t="shared" si="29"/>
        <v>0.154</v>
      </c>
      <c r="M241" s="16">
        <f t="shared" si="30"/>
        <v>0.59440000000000004</v>
      </c>
      <c r="N241" s="7">
        <v>17303.95</v>
      </c>
    </row>
    <row r="242" spans="1:14" x14ac:dyDescent="0.3">
      <c r="A242" s="6">
        <v>44958</v>
      </c>
      <c r="B242" s="7">
        <v>17359.75</v>
      </c>
      <c r="C242" s="7">
        <v>20.440000000000001</v>
      </c>
      <c r="D242" s="7">
        <v>4.05</v>
      </c>
      <c r="E242" s="7">
        <v>7.31</v>
      </c>
      <c r="F242" s="7">
        <f>(E242/'Yearly GDP'!$B$22)*100</f>
        <v>218.20895522388057</v>
      </c>
      <c r="G242" s="15">
        <f t="shared" si="24"/>
        <v>4.8923679060665359E-2</v>
      </c>
      <c r="H242" s="14">
        <f t="shared" si="25"/>
        <v>0.6692705753852991</v>
      </c>
      <c r="I242" s="7">
        <f t="shared" si="26"/>
        <v>0.379</v>
      </c>
      <c r="J242" s="7">
        <f t="shared" si="27"/>
        <v>0.76300000000000001</v>
      </c>
      <c r="K242" s="16">
        <f t="shared" si="28"/>
        <v>0.68</v>
      </c>
      <c r="L242" s="16">
        <f t="shared" si="29"/>
        <v>0.14599999999999999</v>
      </c>
      <c r="M242" s="16">
        <f t="shared" si="30"/>
        <v>0.61099999999999999</v>
      </c>
      <c r="N242" s="7">
        <v>17359.75</v>
      </c>
    </row>
    <row r="243" spans="1:14" x14ac:dyDescent="0.3">
      <c r="A243" s="6">
        <v>44986</v>
      </c>
      <c r="B243" s="7">
        <v>18065</v>
      </c>
      <c r="C243" s="7">
        <v>20.87</v>
      </c>
      <c r="D243" s="7">
        <v>4.2300000000000004</v>
      </c>
      <c r="E243" s="7">
        <v>7.11</v>
      </c>
      <c r="F243" s="7">
        <f>(E243/'Yearly GDP'!$B$22)*100</f>
        <v>212.23880597014926</v>
      </c>
      <c r="G243" s="15">
        <f t="shared" si="24"/>
        <v>4.7915668423574503E-2</v>
      </c>
      <c r="H243" s="14">
        <f t="shared" si="25"/>
        <v>0.6739193871107525</v>
      </c>
      <c r="I243" s="7">
        <f t="shared" si="26"/>
        <v>0.45800000000000002</v>
      </c>
      <c r="J243" s="7">
        <f t="shared" si="27"/>
        <v>0.81200000000000006</v>
      </c>
      <c r="K243" s="16">
        <f t="shared" si="28"/>
        <v>0.69099999999999995</v>
      </c>
      <c r="L243" s="16">
        <f t="shared" si="29"/>
        <v>9.7000000000000003E-2</v>
      </c>
      <c r="M243" s="16">
        <f t="shared" si="30"/>
        <v>0.66439999999999999</v>
      </c>
      <c r="N243" s="7">
        <v>18065</v>
      </c>
    </row>
    <row r="244" spans="1:14" x14ac:dyDescent="0.3">
      <c r="A244" s="6">
        <v>45017</v>
      </c>
      <c r="B244" s="7">
        <v>18534.400000000001</v>
      </c>
      <c r="C244" s="7">
        <v>21.59</v>
      </c>
      <c r="D244" s="7">
        <v>4.33</v>
      </c>
      <c r="E244" s="7">
        <v>6.98</v>
      </c>
      <c r="F244" s="7">
        <f>(E244/'Yearly GDP'!$B$22)*100</f>
        <v>208.35820895522389</v>
      </c>
      <c r="G244" s="15">
        <f t="shared" si="24"/>
        <v>4.6317739694302917E-2</v>
      </c>
      <c r="H244" s="14">
        <f t="shared" si="25"/>
        <v>0.66357793258313635</v>
      </c>
      <c r="I244" s="7">
        <f t="shared" si="26"/>
        <v>0.54100000000000004</v>
      </c>
      <c r="J244" s="7">
        <f t="shared" si="27"/>
        <v>0.84499999999999997</v>
      </c>
      <c r="K244" s="16">
        <f t="shared" si="28"/>
        <v>0.64600000000000002</v>
      </c>
      <c r="L244" s="16">
        <f t="shared" si="29"/>
        <v>8.2000000000000003E-2</v>
      </c>
      <c r="M244" s="16">
        <f t="shared" si="30"/>
        <v>0.69820000000000004</v>
      </c>
      <c r="N244" s="7">
        <v>18534.400000000001</v>
      </c>
    </row>
    <row r="245" spans="1:14" x14ac:dyDescent="0.3">
      <c r="A245" s="6">
        <v>45047</v>
      </c>
      <c r="B245" s="7">
        <v>19189.05</v>
      </c>
      <c r="C245" s="7">
        <v>22.36</v>
      </c>
      <c r="D245" s="7">
        <v>4.5</v>
      </c>
      <c r="E245" s="7">
        <v>7.11</v>
      </c>
      <c r="F245" s="7">
        <f>(E245/'Yearly GDP'!$B$22)*100</f>
        <v>212.23880597014926</v>
      </c>
      <c r="G245" s="15">
        <f t="shared" si="24"/>
        <v>4.4722719141323794E-2</v>
      </c>
      <c r="H245" s="14">
        <f t="shared" si="25"/>
        <v>0.62901152097501811</v>
      </c>
      <c r="I245" s="7">
        <f t="shared" si="26"/>
        <v>0.64600000000000002</v>
      </c>
      <c r="J245" s="7">
        <f t="shared" si="27"/>
        <v>0.89</v>
      </c>
      <c r="K245" s="16">
        <f t="shared" si="28"/>
        <v>0.503</v>
      </c>
      <c r="L245" s="16">
        <f t="shared" si="29"/>
        <v>9.7000000000000003E-2</v>
      </c>
      <c r="M245" s="16">
        <f t="shared" si="30"/>
        <v>0.71760000000000002</v>
      </c>
      <c r="N245" s="7">
        <v>19189.05</v>
      </c>
    </row>
    <row r="246" spans="1:14" x14ac:dyDescent="0.3">
      <c r="A246" s="6">
        <v>45078</v>
      </c>
      <c r="B246" s="7">
        <v>19753.8</v>
      </c>
      <c r="C246" s="7">
        <v>23.01</v>
      </c>
      <c r="D246" s="7">
        <v>4.83</v>
      </c>
      <c r="E246" s="7">
        <v>7.17</v>
      </c>
      <c r="F246" s="7">
        <f>(E246/'Yearly GDP'!$B$22)*100</f>
        <v>214.02985074626866</v>
      </c>
      <c r="G246" s="15">
        <f t="shared" si="24"/>
        <v>4.3459365493263798E-2</v>
      </c>
      <c r="H246" s="14">
        <f t="shared" si="25"/>
        <v>0.60612783114733326</v>
      </c>
      <c r="I246" s="7">
        <f t="shared" si="26"/>
        <v>0.71399999999999997</v>
      </c>
      <c r="J246" s="7">
        <f t="shared" si="27"/>
        <v>0.92100000000000004</v>
      </c>
      <c r="K246" s="16">
        <f t="shared" si="28"/>
        <v>0.375</v>
      </c>
      <c r="L246" s="16">
        <f t="shared" si="29"/>
        <v>0.12</v>
      </c>
      <c r="M246" s="16">
        <f t="shared" si="30"/>
        <v>0.72080000000000011</v>
      </c>
      <c r="N246" s="7">
        <v>19753.8</v>
      </c>
    </row>
    <row r="247" spans="1:14" x14ac:dyDescent="0.3">
      <c r="A247" s="6">
        <v>45108</v>
      </c>
      <c r="B247" s="7">
        <v>19253.8</v>
      </c>
      <c r="C247" s="7">
        <v>21.97</v>
      </c>
      <c r="D247" s="7">
        <v>4.4000000000000004</v>
      </c>
      <c r="E247" s="7">
        <v>7.16</v>
      </c>
      <c r="F247" s="7">
        <f>(E247/'Yearly GDP'!$B$22)*100</f>
        <v>213.73134328358208</v>
      </c>
      <c r="G247" s="15">
        <f t="shared" si="24"/>
        <v>4.5516613563950842E-2</v>
      </c>
      <c r="H247" s="14">
        <f t="shared" si="25"/>
        <v>0.63570689335126873</v>
      </c>
      <c r="I247" s="7">
        <f t="shared" si="26"/>
        <v>0.57099999999999995</v>
      </c>
      <c r="J247" s="7">
        <f t="shared" si="27"/>
        <v>0.872</v>
      </c>
      <c r="K247" s="16">
        <f t="shared" si="28"/>
        <v>0.52200000000000002</v>
      </c>
      <c r="L247" s="16">
        <f t="shared" si="29"/>
        <v>0.112</v>
      </c>
      <c r="M247" s="16">
        <f t="shared" si="30"/>
        <v>0.68479999999999996</v>
      </c>
      <c r="N247" s="7">
        <v>19253.8</v>
      </c>
    </row>
    <row r="248" spans="1:14" x14ac:dyDescent="0.3">
      <c r="A248" s="6">
        <v>45139</v>
      </c>
      <c r="B248" s="7">
        <v>19638.3</v>
      </c>
      <c r="C248" s="7">
        <v>22.21</v>
      </c>
      <c r="D248" s="7">
        <v>3.45</v>
      </c>
      <c r="E248" s="7">
        <v>7.21</v>
      </c>
      <c r="F248" s="7">
        <f>(E248/'Yearly GDP'!$B$22)*100</f>
        <v>215.22388059701493</v>
      </c>
      <c r="G248" s="15">
        <f t="shared" si="24"/>
        <v>4.5024763619990991E-2</v>
      </c>
      <c r="H248" s="14">
        <f t="shared" si="25"/>
        <v>0.6244766105407904</v>
      </c>
      <c r="I248" s="7">
        <f t="shared" si="26"/>
        <v>0.60499999999999998</v>
      </c>
      <c r="J248" s="7">
        <f t="shared" si="27"/>
        <v>0.375</v>
      </c>
      <c r="K248" s="16">
        <f t="shared" si="28"/>
        <v>0.47699999999999998</v>
      </c>
      <c r="L248" s="16">
        <f t="shared" si="29"/>
        <v>0.13100000000000001</v>
      </c>
      <c r="M248" s="16">
        <f t="shared" si="30"/>
        <v>0.58620000000000005</v>
      </c>
      <c r="N248" s="7">
        <v>19638.3</v>
      </c>
    </row>
    <row r="249" spans="1:14" x14ac:dyDescent="0.3">
      <c r="A249" s="6">
        <v>45170</v>
      </c>
      <c r="B249" s="7">
        <v>19079.599999999999</v>
      </c>
      <c r="C249" s="7">
        <v>20.45</v>
      </c>
      <c r="D249" s="7">
        <v>3.35</v>
      </c>
      <c r="E249" s="7">
        <v>7.35</v>
      </c>
      <c r="F249" s="7">
        <f>(E249/'Yearly GDP'!$B$22)*100</f>
        <v>219.40298507462686</v>
      </c>
      <c r="G249" s="15">
        <f t="shared" si="24"/>
        <v>4.8899755501222497E-2</v>
      </c>
      <c r="H249" s="14">
        <f t="shared" si="25"/>
        <v>0.66530279593499997</v>
      </c>
      <c r="I249" s="7">
        <f t="shared" si="26"/>
        <v>0.38700000000000001</v>
      </c>
      <c r="J249" s="7">
        <f t="shared" si="27"/>
        <v>0.29599999999999999</v>
      </c>
      <c r="K249" s="16">
        <f t="shared" si="28"/>
        <v>0.66100000000000003</v>
      </c>
      <c r="L249" s="16">
        <f t="shared" si="29"/>
        <v>0.15</v>
      </c>
      <c r="M249" s="16">
        <f t="shared" si="30"/>
        <v>0.5162000000000001</v>
      </c>
      <c r="N249" s="7">
        <v>19079.599999999999</v>
      </c>
    </row>
    <row r="250" spans="1:14" x14ac:dyDescent="0.3">
      <c r="A250" s="6">
        <v>45200</v>
      </c>
      <c r="B250" s="7">
        <v>20133.150000000001</v>
      </c>
      <c r="C250" s="7">
        <v>21.52</v>
      </c>
      <c r="D250" s="7">
        <v>3.53</v>
      </c>
      <c r="E250" s="7">
        <v>7.27</v>
      </c>
      <c r="F250" s="7">
        <f>(E250/'Yearly GDP'!$B$22)*100</f>
        <v>217.0149253731343</v>
      </c>
      <c r="G250" s="15">
        <f t="shared" si="24"/>
        <v>4.6468401486988851E-2</v>
      </c>
      <c r="H250" s="14">
        <f t="shared" si="25"/>
        <v>0.63918021302598149</v>
      </c>
      <c r="I250" s="7">
        <f t="shared" si="26"/>
        <v>0.53300000000000003</v>
      </c>
      <c r="J250" s="7">
        <f t="shared" si="27"/>
        <v>0.46600000000000003</v>
      </c>
      <c r="K250" s="16">
        <f t="shared" si="28"/>
        <v>0.56000000000000005</v>
      </c>
      <c r="L250" s="16">
        <f t="shared" si="29"/>
        <v>0.14199999999999999</v>
      </c>
      <c r="M250" s="16">
        <f t="shared" si="30"/>
        <v>0.59</v>
      </c>
      <c r="N250" s="7">
        <v>20133.150000000001</v>
      </c>
    </row>
    <row r="251" spans="1:14" x14ac:dyDescent="0.3">
      <c r="A251" s="6">
        <v>45231</v>
      </c>
      <c r="B251" s="7">
        <v>21731.4</v>
      </c>
      <c r="C251" s="7">
        <v>23.17</v>
      </c>
      <c r="D251" s="7">
        <v>3.81</v>
      </c>
      <c r="E251" s="7">
        <v>7.17</v>
      </c>
      <c r="F251" s="7">
        <f>(E251/'Yearly GDP'!$B$22)*100</f>
        <v>214.02985074626866</v>
      </c>
      <c r="G251" s="15">
        <f t="shared" si="24"/>
        <v>4.3159257660768231E-2</v>
      </c>
      <c r="H251" s="14">
        <f t="shared" si="25"/>
        <v>0.60194222678895726</v>
      </c>
      <c r="I251" s="7">
        <f t="shared" si="26"/>
        <v>0.72499999999999998</v>
      </c>
      <c r="J251" s="7">
        <f t="shared" si="27"/>
        <v>0.66500000000000004</v>
      </c>
      <c r="K251" s="16">
        <f t="shared" si="28"/>
        <v>0.35299999999999998</v>
      </c>
      <c r="L251" s="16">
        <f t="shared" si="29"/>
        <v>0.12</v>
      </c>
      <c r="M251" s="16">
        <f t="shared" si="30"/>
        <v>0.66959999999999997</v>
      </c>
      <c r="N251" s="7">
        <v>21731.4</v>
      </c>
    </row>
    <row r="252" spans="1:14" x14ac:dyDescent="0.3">
      <c r="A252" s="6">
        <v>45261</v>
      </c>
      <c r="B252" s="7">
        <v>21725.7</v>
      </c>
      <c r="C252" s="7">
        <v>22.46</v>
      </c>
      <c r="D252" s="7">
        <v>3.81</v>
      </c>
      <c r="E252" s="7">
        <v>7.14</v>
      </c>
      <c r="F252" s="7">
        <f>(E252/'Yearly GDP'!$B$22)*100</f>
        <v>213.13432835820896</v>
      </c>
      <c r="G252" s="15">
        <f t="shared" si="24"/>
        <v>4.4523597506678537E-2</v>
      </c>
      <c r="H252" s="14">
        <f t="shared" si="25"/>
        <v>0.62357979701230448</v>
      </c>
      <c r="I252" s="7">
        <f t="shared" si="26"/>
        <v>0.65700000000000003</v>
      </c>
      <c r="J252" s="7">
        <f t="shared" si="27"/>
        <v>0.66500000000000004</v>
      </c>
      <c r="K252" s="16">
        <f t="shared" si="28"/>
        <v>0.46600000000000003</v>
      </c>
      <c r="L252" s="16">
        <f t="shared" si="29"/>
        <v>0.105</v>
      </c>
      <c r="M252" s="16">
        <f t="shared" si="30"/>
        <v>0.66800000000000004</v>
      </c>
      <c r="N252" s="7">
        <v>21725.7</v>
      </c>
    </row>
    <row r="253" spans="1:14" x14ac:dyDescent="0.3">
      <c r="A253" s="6">
        <v>45292</v>
      </c>
      <c r="B253" s="7">
        <v>21982.799999999999</v>
      </c>
      <c r="C253" s="7">
        <v>22.7</v>
      </c>
      <c r="D253" s="7">
        <v>3.85</v>
      </c>
      <c r="E253" s="7">
        <v>7.07</v>
      </c>
      <c r="F253" s="7">
        <f>(E253/'Yearly GDP'!$B$23)*100</f>
        <v>198.03921568627453</v>
      </c>
      <c r="G253" s="15">
        <f t="shared" si="24"/>
        <v>4.405286343612335E-2</v>
      </c>
      <c r="H253" s="14">
        <f t="shared" si="25"/>
        <v>0.62309566387727511</v>
      </c>
      <c r="I253" s="7">
        <f t="shared" si="26"/>
        <v>0.68</v>
      </c>
      <c r="J253" s="7">
        <f t="shared" si="27"/>
        <v>0.68700000000000006</v>
      </c>
      <c r="K253" s="16">
        <f t="shared" si="28"/>
        <v>0.45800000000000002</v>
      </c>
      <c r="L253" s="16">
        <f t="shared" si="29"/>
        <v>5.6000000000000001E-2</v>
      </c>
      <c r="M253" s="16">
        <f t="shared" si="30"/>
        <v>0.68980000000000008</v>
      </c>
      <c r="N253" s="7">
        <v>21982.799999999999</v>
      </c>
    </row>
    <row r="254" spans="1:14" x14ac:dyDescent="0.3">
      <c r="A254" s="6">
        <v>45323</v>
      </c>
      <c r="B254" s="7">
        <v>22326.9</v>
      </c>
      <c r="C254" s="7">
        <v>22.88</v>
      </c>
      <c r="D254" s="7">
        <v>3.94</v>
      </c>
      <c r="E254" s="7">
        <v>7.05</v>
      </c>
      <c r="F254" s="7">
        <f>(E254/'Yearly GDP'!$B$23)*100</f>
        <v>197.47899159663865</v>
      </c>
      <c r="G254" s="15">
        <f t="shared" si="24"/>
        <v>4.3706293706293711E-2</v>
      </c>
      <c r="H254" s="14">
        <f t="shared" si="25"/>
        <v>0.61994742845806683</v>
      </c>
      <c r="I254" s="7">
        <f t="shared" si="26"/>
        <v>0.70299999999999996</v>
      </c>
      <c r="J254" s="7">
        <f t="shared" si="27"/>
        <v>0.72499999999999998</v>
      </c>
      <c r="K254" s="16">
        <f t="shared" si="28"/>
        <v>0.439</v>
      </c>
      <c r="L254" s="16">
        <f t="shared" si="29"/>
        <v>5.1999999999999998E-2</v>
      </c>
      <c r="M254" s="16">
        <f t="shared" si="30"/>
        <v>0.7036</v>
      </c>
      <c r="N254" s="7">
        <v>22326.9</v>
      </c>
    </row>
    <row r="255" spans="1:14" x14ac:dyDescent="0.3">
      <c r="A255" s="6">
        <v>45352</v>
      </c>
      <c r="B255" s="7">
        <v>22604.85</v>
      </c>
      <c r="C255" s="7">
        <v>22</v>
      </c>
      <c r="D255" s="7">
        <v>3.96</v>
      </c>
      <c r="E255" s="7">
        <v>7.19</v>
      </c>
      <c r="F255" s="7">
        <f>(E255/'Yearly GDP'!$B$23)*100</f>
        <v>201.40056022408967</v>
      </c>
      <c r="G255" s="15">
        <f t="shared" si="24"/>
        <v>4.5454545454545456E-2</v>
      </c>
      <c r="H255" s="14">
        <f t="shared" si="25"/>
        <v>0.63219117461120244</v>
      </c>
      <c r="I255" s="7">
        <f t="shared" si="26"/>
        <v>0.57799999999999996</v>
      </c>
      <c r="J255" s="7">
        <f t="shared" si="27"/>
        <v>0.73299999999999998</v>
      </c>
      <c r="K255" s="16">
        <f t="shared" si="28"/>
        <v>0.51100000000000001</v>
      </c>
      <c r="L255" s="16">
        <f t="shared" si="29"/>
        <v>0.06</v>
      </c>
      <c r="M255" s="16">
        <f t="shared" si="30"/>
        <v>0.66800000000000004</v>
      </c>
      <c r="N255" s="7">
        <v>22604.85</v>
      </c>
    </row>
    <row r="256" spans="1:14" x14ac:dyDescent="0.3">
      <c r="A256" s="6">
        <v>45383</v>
      </c>
      <c r="B256" s="7">
        <v>22530.7</v>
      </c>
      <c r="C256" s="7">
        <v>21.4</v>
      </c>
      <c r="D256" s="7">
        <v>3.95</v>
      </c>
      <c r="E256" s="7">
        <v>6.98</v>
      </c>
      <c r="F256" s="7">
        <f>(E256/'Yearly GDP'!$B$23)*100</f>
        <v>195.51820728291318</v>
      </c>
      <c r="G256" s="15">
        <f t="shared" si="24"/>
        <v>4.6728971962616828E-2</v>
      </c>
      <c r="H256" s="14">
        <f t="shared" si="25"/>
        <v>0.66946951235840724</v>
      </c>
      <c r="I256" s="7">
        <f t="shared" si="26"/>
        <v>0.51800000000000002</v>
      </c>
      <c r="J256" s="7">
        <f t="shared" si="27"/>
        <v>0.72899999999999998</v>
      </c>
      <c r="K256" s="16">
        <f t="shared" si="28"/>
        <v>0.68700000000000006</v>
      </c>
      <c r="L256" s="16">
        <f t="shared" si="29"/>
        <v>4.4999999999999998E-2</v>
      </c>
      <c r="M256" s="16">
        <f t="shared" si="30"/>
        <v>0.68140000000000001</v>
      </c>
      <c r="N256" s="7">
        <v>22530.7</v>
      </c>
    </row>
    <row r="257" spans="1:14" x14ac:dyDescent="0.3">
      <c r="A257" s="6">
        <v>45413</v>
      </c>
      <c r="B257" s="7">
        <v>24010.6</v>
      </c>
      <c r="C257" s="7">
        <v>22.85</v>
      </c>
      <c r="D257" s="7">
        <v>4.1399999999999997</v>
      </c>
      <c r="E257" s="7">
        <v>7</v>
      </c>
      <c r="F257" s="7">
        <f>(E257/'Yearly GDP'!$B$23)*100</f>
        <v>196.07843137254903</v>
      </c>
      <c r="G257" s="15">
        <f t="shared" si="24"/>
        <v>4.3763676148796497E-2</v>
      </c>
      <c r="H257" s="14">
        <f t="shared" si="25"/>
        <v>0.6251953735542356</v>
      </c>
      <c r="I257" s="7">
        <f t="shared" si="26"/>
        <v>0.69499999999999995</v>
      </c>
      <c r="J257" s="7">
        <f t="shared" si="27"/>
        <v>0.79300000000000004</v>
      </c>
      <c r="K257" s="16">
        <f t="shared" si="28"/>
        <v>0.48099999999999998</v>
      </c>
      <c r="L257" s="16">
        <f t="shared" si="29"/>
        <v>4.8000000000000001E-2</v>
      </c>
      <c r="M257" s="16">
        <f t="shared" si="30"/>
        <v>0.72319999999999995</v>
      </c>
      <c r="N257" s="7">
        <v>24010.6</v>
      </c>
    </row>
    <row r="258" spans="1:14" x14ac:dyDescent="0.3">
      <c r="A258" s="6">
        <v>45444</v>
      </c>
      <c r="B258" s="7">
        <v>24951.15</v>
      </c>
      <c r="C258" s="7">
        <v>23.4</v>
      </c>
      <c r="D258" s="7">
        <v>4.21</v>
      </c>
      <c r="E258" s="7">
        <v>6.92</v>
      </c>
      <c r="F258" s="7">
        <f>(E258/'Yearly GDP'!$B$23)*100</f>
        <v>193.8375350140056</v>
      </c>
      <c r="G258" s="15">
        <f t="shared" si="24"/>
        <v>4.2735042735042736E-2</v>
      </c>
      <c r="H258" s="14">
        <f t="shared" si="25"/>
        <v>0.61755842102662906</v>
      </c>
      <c r="I258" s="7">
        <f t="shared" si="26"/>
        <v>0.748</v>
      </c>
      <c r="J258" s="7">
        <f t="shared" si="27"/>
        <v>0.80800000000000005</v>
      </c>
      <c r="K258" s="16">
        <f t="shared" si="28"/>
        <v>0.436</v>
      </c>
      <c r="L258" s="16">
        <f t="shared" si="29"/>
        <v>4.1000000000000002E-2</v>
      </c>
      <c r="M258" s="16">
        <f t="shared" si="30"/>
        <v>0.73980000000000001</v>
      </c>
      <c r="N258" s="7">
        <v>24951.15</v>
      </c>
    </row>
    <row r="259" spans="1:14" x14ac:dyDescent="0.3">
      <c r="A259" s="6">
        <v>45474</v>
      </c>
      <c r="B259" s="7">
        <v>25235.9</v>
      </c>
      <c r="C259" s="7">
        <v>23.47</v>
      </c>
      <c r="D259" s="7">
        <v>4.26</v>
      </c>
      <c r="E259" s="7">
        <v>6.8630000000000004</v>
      </c>
      <c r="F259" s="7">
        <f>(E259/'Yearly GDP'!$B$23)*100</f>
        <v>192.24089635854344</v>
      </c>
      <c r="G259" s="15">
        <f t="shared" si="24"/>
        <v>4.26075841499787E-2</v>
      </c>
      <c r="H259" s="14">
        <f t="shared" si="25"/>
        <v>0.62083030963104613</v>
      </c>
      <c r="I259" s="7">
        <f t="shared" si="26"/>
        <v>0.76300000000000001</v>
      </c>
      <c r="J259" s="7">
        <f t="shared" si="27"/>
        <v>0.83799999999999997</v>
      </c>
      <c r="K259" s="16">
        <f t="shared" si="28"/>
        <v>0.44700000000000001</v>
      </c>
      <c r="L259" s="16">
        <f t="shared" si="29"/>
        <v>3.6999999999999998E-2</v>
      </c>
      <c r="M259" s="16">
        <f t="shared" si="30"/>
        <v>0.75480000000000003</v>
      </c>
      <c r="N259" s="7">
        <v>25235.9</v>
      </c>
    </row>
    <row r="260" spans="1:14" x14ac:dyDescent="0.3">
      <c r="A260" s="6">
        <v>45505</v>
      </c>
      <c r="B260" s="7">
        <v>25810.85</v>
      </c>
      <c r="C260" s="7">
        <v>24.26</v>
      </c>
      <c r="D260" s="7">
        <v>3.87</v>
      </c>
      <c r="E260" s="7">
        <v>6.75</v>
      </c>
      <c r="F260" s="7">
        <f>(E260/'Yearly GDP'!$B$23)*100</f>
        <v>189.07563025210086</v>
      </c>
      <c r="G260" s="15">
        <f t="shared" ref="G260:G269" si="32">1/C260</f>
        <v>4.1220115416323165E-2</v>
      </c>
      <c r="H260" s="14">
        <f t="shared" ref="H260:H269" si="33">G260/E260*(100)</f>
        <v>0.610668376538121</v>
      </c>
      <c r="I260" s="7">
        <f t="shared" ref="I260:I269" si="34">_xlfn.PERCENTRANK.INC($C$3:$C$269,C260)</f>
        <v>0.78900000000000003</v>
      </c>
      <c r="J260" s="7">
        <f t="shared" ref="J260:J269" si="35">_xlfn.PERCENTRANK.INC($D$3:$D$269,D260)</f>
        <v>0.69899999999999995</v>
      </c>
      <c r="K260" s="16">
        <f t="shared" ref="K260:K269" si="36">_xlfn.PERCENTRANK.INC($H$3:$H$269,H260)</f>
        <v>0.40600000000000003</v>
      </c>
      <c r="L260" s="16">
        <f t="shared" ref="L260:L269" si="37">_xlfn.PERCENTRANK.INC($F$3:$F$269,F260)</f>
        <v>2.1999999999999999E-2</v>
      </c>
      <c r="M260" s="16">
        <f t="shared" ref="M260:M269" si="38">(I260*0.4)+(J260*0.2)+(K260*0.2)+((1-L260)*0.2)</f>
        <v>0.73220000000000007</v>
      </c>
      <c r="N260" s="7">
        <v>25810.85</v>
      </c>
    </row>
    <row r="261" spans="1:14" x14ac:dyDescent="0.3">
      <c r="A261" s="6">
        <v>45536</v>
      </c>
      <c r="B261" s="8">
        <v>24205.35</v>
      </c>
      <c r="C261" s="8">
        <v>22.58</v>
      </c>
      <c r="D261" s="8">
        <v>3.63</v>
      </c>
      <c r="E261" s="8">
        <v>6.8410000000000002</v>
      </c>
      <c r="F261" s="7">
        <f>(E261/'Yearly GDP'!$B$23)*100</f>
        <v>191.62464985994399</v>
      </c>
      <c r="G261" s="15">
        <f t="shared" si="32"/>
        <v>4.4286979627989373E-2</v>
      </c>
      <c r="H261" s="14">
        <f t="shared" si="33"/>
        <v>0.64737581681025247</v>
      </c>
      <c r="I261" s="7">
        <f t="shared" si="34"/>
        <v>0.66900000000000004</v>
      </c>
      <c r="J261" s="7">
        <f t="shared" si="35"/>
        <v>0.54500000000000004</v>
      </c>
      <c r="K261" s="16">
        <f t="shared" si="36"/>
        <v>0.59299999999999997</v>
      </c>
      <c r="L261" s="16">
        <f t="shared" si="37"/>
        <v>3.3000000000000002E-2</v>
      </c>
      <c r="M261" s="16">
        <f t="shared" si="38"/>
        <v>0.6886000000000001</v>
      </c>
      <c r="N261" s="8">
        <v>24205.35</v>
      </c>
    </row>
    <row r="262" spans="1:14" x14ac:dyDescent="0.3">
      <c r="A262" s="6">
        <v>45566</v>
      </c>
      <c r="B262" s="8">
        <v>24131.1</v>
      </c>
      <c r="C262" s="8">
        <v>22.21</v>
      </c>
      <c r="D262" s="8">
        <v>3.6</v>
      </c>
      <c r="E262" s="8">
        <v>6.7510000000000003</v>
      </c>
      <c r="F262" s="7">
        <f>(E262/'Yearly GDP'!$B$23)*100</f>
        <v>189.10364145658264</v>
      </c>
      <c r="G262" s="15">
        <f t="shared" si="32"/>
        <v>4.5024763619990991E-2</v>
      </c>
      <c r="H262" s="14">
        <f t="shared" si="33"/>
        <v>0.6669347299657975</v>
      </c>
      <c r="I262" s="7">
        <f t="shared" si="34"/>
        <v>0.60499999999999998</v>
      </c>
      <c r="J262" s="7">
        <f t="shared" si="35"/>
        <v>0.51800000000000002</v>
      </c>
      <c r="K262" s="16">
        <f t="shared" si="36"/>
        <v>0.67600000000000005</v>
      </c>
      <c r="L262" s="16">
        <f t="shared" si="37"/>
        <v>2.5999999999999999E-2</v>
      </c>
      <c r="M262" s="16">
        <f t="shared" si="38"/>
        <v>0.67559999999999998</v>
      </c>
      <c r="N262" s="8">
        <v>24131.1</v>
      </c>
    </row>
    <row r="263" spans="1:14" x14ac:dyDescent="0.3">
      <c r="A263" s="6">
        <v>45597</v>
      </c>
      <c r="B263" s="8">
        <v>23644.799999999999</v>
      </c>
      <c r="C263" s="8">
        <v>21.79</v>
      </c>
      <c r="D263" s="8">
        <v>3.53</v>
      </c>
      <c r="E263" s="8">
        <v>6.7590000000000003</v>
      </c>
      <c r="F263" s="7">
        <f>(E263/'Yearly GDP'!$B$23)*100</f>
        <v>189.32773109243698</v>
      </c>
      <c r="G263" s="15">
        <f t="shared" si="32"/>
        <v>4.5892611289582379E-2</v>
      </c>
      <c r="H263" s="14">
        <f t="shared" si="33"/>
        <v>0.678985223991454</v>
      </c>
      <c r="I263" s="7">
        <f t="shared" si="34"/>
        <v>0.55200000000000005</v>
      </c>
      <c r="J263" s="7">
        <f t="shared" si="35"/>
        <v>0.46600000000000003</v>
      </c>
      <c r="K263" s="16">
        <f t="shared" si="36"/>
        <v>0.70599999999999996</v>
      </c>
      <c r="L263" s="16">
        <f t="shared" si="37"/>
        <v>0.03</v>
      </c>
      <c r="M263" s="16">
        <f t="shared" si="38"/>
        <v>0.6492</v>
      </c>
      <c r="N263" s="8">
        <v>23644.799999999999</v>
      </c>
    </row>
    <row r="264" spans="1:14" x14ac:dyDescent="0.3">
      <c r="A264" s="6">
        <v>45627</v>
      </c>
      <c r="B264" s="8">
        <v>23508.400000000001</v>
      </c>
      <c r="C264" s="8">
        <v>21.33</v>
      </c>
      <c r="D264" s="8">
        <v>3.51</v>
      </c>
      <c r="E264" s="8">
        <v>6.694</v>
      </c>
      <c r="F264" s="7">
        <f>(E264/'Yearly GDP'!$B$23)*100</f>
        <v>187.50700280112045</v>
      </c>
      <c r="G264" s="15">
        <f t="shared" si="32"/>
        <v>4.6882325363338022E-2</v>
      </c>
      <c r="H264" s="14">
        <f t="shared" si="33"/>
        <v>0.70036339054882013</v>
      </c>
      <c r="I264" s="7">
        <f t="shared" si="34"/>
        <v>0.50700000000000001</v>
      </c>
      <c r="J264" s="7">
        <f t="shared" si="35"/>
        <v>0.45100000000000001</v>
      </c>
      <c r="K264" s="16">
        <f t="shared" si="36"/>
        <v>0.75900000000000001</v>
      </c>
      <c r="L264" s="16">
        <f t="shared" si="37"/>
        <v>1.7999999999999999E-2</v>
      </c>
      <c r="M264" s="16">
        <f t="shared" si="38"/>
        <v>0.6412000000000001</v>
      </c>
      <c r="N264" s="8">
        <v>23508.400000000001</v>
      </c>
    </row>
    <row r="265" spans="1:14" x14ac:dyDescent="0.3">
      <c r="A265" s="6">
        <v>45658</v>
      </c>
      <c r="B265" s="8">
        <v>22124.7</v>
      </c>
      <c r="C265" s="8">
        <v>19.670000000000002</v>
      </c>
      <c r="D265" s="8">
        <v>3.29</v>
      </c>
      <c r="E265" s="8">
        <v>6.72</v>
      </c>
      <c r="F265" s="7">
        <f>(E265/'Yearly GDP'!$B$24)*100</f>
        <v>182.60869565217391</v>
      </c>
      <c r="G265" s="15">
        <f t="shared" si="32"/>
        <v>5.0838840874428061E-2</v>
      </c>
      <c r="H265" s="14">
        <f t="shared" si="33"/>
        <v>0.75653037015517943</v>
      </c>
      <c r="I265" s="7">
        <f t="shared" si="34"/>
        <v>0.32300000000000001</v>
      </c>
      <c r="J265" s="7">
        <f t="shared" si="35"/>
        <v>0.28499999999999998</v>
      </c>
      <c r="K265" s="16">
        <f t="shared" si="36"/>
        <v>0.83399999999999996</v>
      </c>
      <c r="L265" s="16">
        <f t="shared" si="37"/>
        <v>1.4999999999999999E-2</v>
      </c>
      <c r="M265" s="16">
        <f t="shared" si="38"/>
        <v>0.55000000000000004</v>
      </c>
      <c r="N265" s="8">
        <v>22124.7</v>
      </c>
    </row>
    <row r="266" spans="1:14" x14ac:dyDescent="0.3">
      <c r="A266" s="6">
        <v>45689</v>
      </c>
      <c r="B266" s="8">
        <v>23519.35</v>
      </c>
      <c r="C266" s="8">
        <v>21.37</v>
      </c>
      <c r="D266" s="8">
        <v>3.48</v>
      </c>
      <c r="E266" s="8">
        <v>6.58</v>
      </c>
      <c r="F266" s="7">
        <f>(E266/'Yearly GDP'!$B$24)*100</f>
        <v>178.80434782608694</v>
      </c>
      <c r="G266" s="15">
        <f t="shared" si="32"/>
        <v>4.6794571829667758E-2</v>
      </c>
      <c r="H266" s="14">
        <f t="shared" si="33"/>
        <v>0.71116370561805109</v>
      </c>
      <c r="I266" s="7">
        <f t="shared" si="34"/>
        <v>0.51500000000000001</v>
      </c>
      <c r="J266" s="7">
        <f t="shared" si="35"/>
        <v>0.40899999999999997</v>
      </c>
      <c r="K266" s="16">
        <f t="shared" si="36"/>
        <v>0.77</v>
      </c>
      <c r="L266" s="16">
        <f t="shared" si="37"/>
        <v>1.0999999999999999E-2</v>
      </c>
      <c r="M266" s="16">
        <f t="shared" si="38"/>
        <v>0.63960000000000006</v>
      </c>
      <c r="N266" s="8">
        <v>23519.35</v>
      </c>
    </row>
    <row r="267" spans="1:14" x14ac:dyDescent="0.3">
      <c r="A267" s="6">
        <v>45717</v>
      </c>
      <c r="B267" s="8">
        <v>24334.2</v>
      </c>
      <c r="C267" s="8">
        <v>21.94</v>
      </c>
      <c r="D267" s="8">
        <v>3.6</v>
      </c>
      <c r="E267" s="8">
        <v>6.35</v>
      </c>
      <c r="F267" s="7">
        <f>(E267/'Yearly GDP'!$B$24)*100</f>
        <v>172.55434782608694</v>
      </c>
      <c r="G267" s="15">
        <f t="shared" si="32"/>
        <v>4.5578851412944391E-2</v>
      </c>
      <c r="H267" s="14">
        <f t="shared" si="33"/>
        <v>0.71777718760542353</v>
      </c>
      <c r="I267" s="7">
        <f t="shared" si="34"/>
        <v>0.56299999999999994</v>
      </c>
      <c r="J267" s="7">
        <f t="shared" si="35"/>
        <v>0.51800000000000002</v>
      </c>
      <c r="K267" s="16">
        <f t="shared" si="36"/>
        <v>0.79300000000000004</v>
      </c>
      <c r="L267" s="16">
        <f t="shared" si="37"/>
        <v>7.0000000000000001E-3</v>
      </c>
      <c r="M267" s="16">
        <f t="shared" si="38"/>
        <v>0.68599999999999994</v>
      </c>
      <c r="N267" s="8">
        <v>24334.2</v>
      </c>
    </row>
    <row r="268" spans="1:14" x14ac:dyDescent="0.3">
      <c r="A268" s="6">
        <v>45748</v>
      </c>
      <c r="B268" s="8">
        <v>24750.7</v>
      </c>
      <c r="C268" s="8">
        <v>22.32</v>
      </c>
      <c r="D268" s="8">
        <v>3.62</v>
      </c>
      <c r="E268" s="8">
        <v>6.2</v>
      </c>
      <c r="F268" s="7">
        <f>(E268/'Yearly GDP'!$B$24)*100</f>
        <v>168.47826086956522</v>
      </c>
      <c r="G268" s="15">
        <f t="shared" si="32"/>
        <v>4.4802867383512544E-2</v>
      </c>
      <c r="H268" s="14">
        <f t="shared" si="33"/>
        <v>0.72262689328246044</v>
      </c>
      <c r="I268" s="7">
        <f t="shared" si="34"/>
        <v>0.63500000000000001</v>
      </c>
      <c r="J268" s="7">
        <f t="shared" si="35"/>
        <v>0.53700000000000003</v>
      </c>
      <c r="K268" s="16">
        <f t="shared" si="36"/>
        <v>0.8</v>
      </c>
      <c r="L268" s="16">
        <f t="shared" si="37"/>
        <v>0</v>
      </c>
      <c r="M268" s="16">
        <f t="shared" si="38"/>
        <v>0.72140000000000004</v>
      </c>
      <c r="N268" s="8">
        <v>24750.7</v>
      </c>
    </row>
    <row r="269" spans="1:14" x14ac:dyDescent="0.3">
      <c r="A269" s="6">
        <v>45778</v>
      </c>
      <c r="B269" s="8">
        <v>25112.400000000001</v>
      </c>
      <c r="C269" s="8">
        <v>22.57</v>
      </c>
      <c r="D269" s="8">
        <v>3.65</v>
      </c>
      <c r="E269" s="8">
        <v>6.31</v>
      </c>
      <c r="F269" s="7">
        <f>(E269/'Yearly GDP'!$B$24)*100</f>
        <v>171.46739130434781</v>
      </c>
      <c r="G269" s="15">
        <f t="shared" si="32"/>
        <v>4.4306601683650866E-2</v>
      </c>
      <c r="H269" s="14">
        <f t="shared" si="33"/>
        <v>0.702164844431868</v>
      </c>
      <c r="I269" s="7">
        <f t="shared" si="34"/>
        <v>0.66500000000000004</v>
      </c>
      <c r="J269" s="7">
        <f t="shared" si="35"/>
        <v>0.56000000000000005</v>
      </c>
      <c r="K269" s="16">
        <f t="shared" si="36"/>
        <v>0.76300000000000001</v>
      </c>
      <c r="L269" s="16">
        <f t="shared" si="37"/>
        <v>3.0000000000000001E-3</v>
      </c>
      <c r="M269" s="16">
        <f t="shared" si="38"/>
        <v>0.73</v>
      </c>
      <c r="N269" s="8">
        <v>25112.400000000001</v>
      </c>
    </row>
  </sheetData>
  <mergeCells count="13">
    <mergeCell ref="F1:F2"/>
    <mergeCell ref="A1:A2"/>
    <mergeCell ref="B1:B2"/>
    <mergeCell ref="C1:C2"/>
    <mergeCell ref="D1:D2"/>
    <mergeCell ref="E1:E2"/>
    <mergeCell ref="P1:P2"/>
    <mergeCell ref="G1:G2"/>
    <mergeCell ref="H1:H2"/>
    <mergeCell ref="I1:L1"/>
    <mergeCell ref="M1:M2"/>
    <mergeCell ref="N1:N2"/>
    <mergeCell ref="O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4.4" x14ac:dyDescent="0.3"/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s="1">
        <v>2002</v>
      </c>
      <c r="B2" s="3">
        <f>C2/1000</f>
        <v>0.51494000000000006</v>
      </c>
      <c r="C2" s="11">
        <v>514.94000000000005</v>
      </c>
      <c r="D2" s="1"/>
    </row>
    <row r="3" spans="1:4" x14ac:dyDescent="0.3">
      <c r="A3" s="1">
        <v>2003</v>
      </c>
      <c r="B3" s="3">
        <v>0.60770000000000002</v>
      </c>
      <c r="C3" s="11">
        <f>B3*1000</f>
        <v>607.70000000000005</v>
      </c>
      <c r="D3" s="4">
        <f>(C3-C2)/C2</f>
        <v>0.18013749174661123</v>
      </c>
    </row>
    <row r="4" spans="1:4" x14ac:dyDescent="0.3">
      <c r="A4" s="1">
        <v>2004</v>
      </c>
      <c r="B4" s="3">
        <v>0.70914999999999995</v>
      </c>
      <c r="C4" s="11">
        <f t="shared" ref="C4:C24" si="0">B4*1000</f>
        <v>709.15</v>
      </c>
      <c r="D4" s="4">
        <f>(C4-C3)/C3</f>
        <v>0.16694092479842015</v>
      </c>
    </row>
    <row r="5" spans="1:4" x14ac:dyDescent="0.3">
      <c r="A5" s="1">
        <v>2005</v>
      </c>
      <c r="B5" s="3">
        <v>0.82038</v>
      </c>
      <c r="C5" s="11">
        <f t="shared" si="0"/>
        <v>820.38</v>
      </c>
      <c r="D5" s="4">
        <f t="shared" ref="D5:D20" si="1">(C5-C4)/C4</f>
        <v>0.15684974970034551</v>
      </c>
    </row>
    <row r="6" spans="1:4" x14ac:dyDescent="0.3">
      <c r="A6" s="1">
        <v>2006</v>
      </c>
      <c r="B6" s="3">
        <v>0.94025999999999998</v>
      </c>
      <c r="C6" s="11">
        <f t="shared" si="0"/>
        <v>940.26</v>
      </c>
      <c r="D6" s="4">
        <f t="shared" si="1"/>
        <v>0.14612740437358296</v>
      </c>
    </row>
    <row r="7" spans="1:4" x14ac:dyDescent="0.3">
      <c r="A7" s="1">
        <v>2007</v>
      </c>
      <c r="B7" s="1">
        <v>1.22</v>
      </c>
      <c r="C7" s="1">
        <f t="shared" si="0"/>
        <v>1220</v>
      </c>
      <c r="D7" s="4">
        <f t="shared" si="1"/>
        <v>0.29751345372556526</v>
      </c>
    </row>
    <row r="8" spans="1:4" x14ac:dyDescent="0.3">
      <c r="A8" s="1">
        <v>2008</v>
      </c>
      <c r="B8" s="3">
        <v>1.2</v>
      </c>
      <c r="C8" s="1">
        <f t="shared" si="0"/>
        <v>1200</v>
      </c>
      <c r="D8" s="4">
        <f t="shared" si="1"/>
        <v>-1.6393442622950821E-2</v>
      </c>
    </row>
    <row r="9" spans="1:4" x14ac:dyDescent="0.3">
      <c r="A9" s="1">
        <v>2009</v>
      </c>
      <c r="B9" s="1">
        <v>1.34</v>
      </c>
      <c r="C9" s="1">
        <f t="shared" si="0"/>
        <v>1340</v>
      </c>
      <c r="D9" s="4">
        <f t="shared" si="1"/>
        <v>0.11666666666666667</v>
      </c>
    </row>
    <row r="10" spans="1:4" x14ac:dyDescent="0.3">
      <c r="A10" s="1">
        <v>2010</v>
      </c>
      <c r="B10" s="1">
        <v>1.68</v>
      </c>
      <c r="C10" s="1">
        <f t="shared" si="0"/>
        <v>1680</v>
      </c>
      <c r="D10" s="4">
        <f t="shared" si="1"/>
        <v>0.2537313432835821</v>
      </c>
    </row>
    <row r="11" spans="1:4" x14ac:dyDescent="0.3">
      <c r="A11" s="1">
        <v>2011</v>
      </c>
      <c r="B11" s="1">
        <v>1.82</v>
      </c>
      <c r="C11" s="1">
        <f t="shared" si="0"/>
        <v>1820</v>
      </c>
      <c r="D11" s="4">
        <f t="shared" si="1"/>
        <v>8.3333333333333329E-2</v>
      </c>
    </row>
    <row r="12" spans="1:4" x14ac:dyDescent="0.3">
      <c r="A12" s="1">
        <v>2012</v>
      </c>
      <c r="B12" s="1">
        <v>1.83</v>
      </c>
      <c r="C12" s="1">
        <f t="shared" si="0"/>
        <v>1830</v>
      </c>
      <c r="D12" s="4">
        <f t="shared" si="1"/>
        <v>5.4945054945054949E-3</v>
      </c>
    </row>
    <row r="13" spans="1:4" x14ac:dyDescent="0.3">
      <c r="A13" s="1">
        <v>2013</v>
      </c>
      <c r="B13" s="1">
        <v>1.86</v>
      </c>
      <c r="C13" s="1">
        <f t="shared" si="0"/>
        <v>1860</v>
      </c>
      <c r="D13" s="4">
        <f t="shared" si="1"/>
        <v>1.6393442622950821E-2</v>
      </c>
    </row>
    <row r="14" spans="1:4" x14ac:dyDescent="0.3">
      <c r="A14" s="1">
        <v>2014</v>
      </c>
      <c r="B14" s="1">
        <v>2.04</v>
      </c>
      <c r="C14" s="1">
        <f t="shared" si="0"/>
        <v>2040</v>
      </c>
      <c r="D14" s="4">
        <f t="shared" si="1"/>
        <v>9.6774193548387094E-2</v>
      </c>
    </row>
    <row r="15" spans="1:4" x14ac:dyDescent="0.3">
      <c r="A15" s="1">
        <v>2015</v>
      </c>
      <c r="B15" s="3">
        <v>2.1</v>
      </c>
      <c r="C15" s="1">
        <f t="shared" si="0"/>
        <v>2100</v>
      </c>
      <c r="D15" s="4">
        <f t="shared" si="1"/>
        <v>2.9411764705882353E-2</v>
      </c>
    </row>
    <row r="16" spans="1:4" x14ac:dyDescent="0.3">
      <c r="A16" s="1">
        <v>2016</v>
      </c>
      <c r="B16" s="1">
        <v>2.29</v>
      </c>
      <c r="C16" s="1">
        <f t="shared" si="0"/>
        <v>2290</v>
      </c>
      <c r="D16" s="4">
        <f t="shared" si="1"/>
        <v>9.0476190476190474E-2</v>
      </c>
    </row>
    <row r="17" spans="1:4" x14ac:dyDescent="0.3">
      <c r="A17" s="1">
        <v>2017</v>
      </c>
      <c r="B17" s="1">
        <v>2.65</v>
      </c>
      <c r="C17" s="1">
        <f t="shared" si="0"/>
        <v>2650</v>
      </c>
      <c r="D17" s="4">
        <f t="shared" si="1"/>
        <v>0.15720524017467249</v>
      </c>
    </row>
    <row r="18" spans="1:4" x14ac:dyDescent="0.3">
      <c r="A18" s="1">
        <v>2018</v>
      </c>
      <c r="B18" s="3">
        <v>2.7</v>
      </c>
      <c r="C18" s="1">
        <f t="shared" si="0"/>
        <v>2700</v>
      </c>
      <c r="D18" s="4">
        <f t="shared" si="1"/>
        <v>1.8867924528301886E-2</v>
      </c>
    </row>
    <row r="19" spans="1:4" x14ac:dyDescent="0.3">
      <c r="A19" s="1">
        <v>2019</v>
      </c>
      <c r="B19" s="1">
        <v>2.84</v>
      </c>
      <c r="C19" s="1">
        <f t="shared" si="0"/>
        <v>2840</v>
      </c>
      <c r="D19" s="4">
        <f t="shared" si="1"/>
        <v>5.185185185185185E-2</v>
      </c>
    </row>
    <row r="20" spans="1:4" x14ac:dyDescent="0.3">
      <c r="A20" s="1">
        <v>2020</v>
      </c>
      <c r="B20" s="1">
        <v>2.67</v>
      </c>
      <c r="C20" s="1">
        <f t="shared" si="0"/>
        <v>2670</v>
      </c>
      <c r="D20" s="4">
        <f t="shared" si="1"/>
        <v>-5.9859154929577461E-2</v>
      </c>
    </row>
    <row r="21" spans="1:4" x14ac:dyDescent="0.3">
      <c r="A21" s="1">
        <v>2021</v>
      </c>
      <c r="B21" s="1">
        <v>3.17</v>
      </c>
      <c r="C21" s="1">
        <f t="shared" si="0"/>
        <v>3170</v>
      </c>
      <c r="D21" s="12">
        <f>(C21-C20)/C20</f>
        <v>0.18726591760299627</v>
      </c>
    </row>
    <row r="22" spans="1:4" x14ac:dyDescent="0.3">
      <c r="A22" s="1">
        <v>2022</v>
      </c>
      <c r="B22" s="1">
        <v>3.35</v>
      </c>
      <c r="C22" s="1">
        <f t="shared" si="0"/>
        <v>3350</v>
      </c>
      <c r="D22" s="12">
        <f t="shared" ref="D22:D24" si="2">(C22-C21)/C21</f>
        <v>5.6782334384858045E-2</v>
      </c>
    </row>
    <row r="23" spans="1:4" x14ac:dyDescent="0.3">
      <c r="A23" s="1">
        <v>2023</v>
      </c>
      <c r="B23" s="1">
        <v>3.57</v>
      </c>
      <c r="C23" s="1">
        <f t="shared" si="0"/>
        <v>3570</v>
      </c>
      <c r="D23" s="12">
        <f t="shared" si="2"/>
        <v>6.5671641791044774E-2</v>
      </c>
    </row>
    <row r="24" spans="1:4" x14ac:dyDescent="0.3">
      <c r="A24" s="1">
        <v>2024</v>
      </c>
      <c r="B24" s="1">
        <v>3.68</v>
      </c>
      <c r="C24" s="1">
        <f t="shared" si="0"/>
        <v>3680</v>
      </c>
      <c r="D24" s="12">
        <f t="shared" si="2"/>
        <v>3.081232492997199E-2</v>
      </c>
    </row>
    <row r="25" spans="1:4" x14ac:dyDescent="0.3">
      <c r="A25" s="1">
        <v>2025</v>
      </c>
      <c r="B25" s="1"/>
      <c r="C25" s="1"/>
      <c r="D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Yearly</vt:lpstr>
      <vt:lpstr>Monthly</vt:lpstr>
      <vt:lpstr>Yearly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mrigesh ram</dc:creator>
  <cp:lastModifiedBy>mrigesh ram</cp:lastModifiedBy>
  <dcterms:created xsi:type="dcterms:W3CDTF">2026-06-11T11:28:01Z</dcterms:created>
  <dcterms:modified xsi:type="dcterms:W3CDTF">2026-06-12T05:42:33Z</dcterms:modified>
</cp:coreProperties>
</file>